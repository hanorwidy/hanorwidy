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ETNUM\"/>
    </mc:Choice>
  </mc:AlternateContent>
  <xr:revisionPtr revIDLastSave="0" documentId="8_{039DB9F5-D746-4510-ACF2-3B0E228E218F}" xr6:coauthVersionLast="47" xr6:coauthVersionMax="47" xr10:uidLastSave="{00000000-0000-0000-0000-000000000000}"/>
  <bookViews>
    <workbookView xWindow="-120" yWindow="-120" windowWidth="21840" windowHeight="13140" xr2:uid="{9B4A4386-74B0-44D8-9E86-E8C0BACB82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8" i="1" l="1"/>
  <c r="L28" i="1"/>
  <c r="K23" i="1"/>
  <c r="L23" i="1"/>
  <c r="K24" i="1"/>
  <c r="L24" i="1"/>
  <c r="K25" i="1"/>
  <c r="L25" i="1"/>
  <c r="K26" i="1"/>
  <c r="L26" i="1"/>
  <c r="K27" i="1"/>
  <c r="L27" i="1"/>
  <c r="U7" i="1"/>
  <c r="T8" i="1"/>
  <c r="S9" i="1"/>
  <c r="T7" i="1"/>
  <c r="S8" i="1"/>
  <c r="S7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L13" i="1"/>
  <c r="K13" i="1"/>
  <c r="L12" i="1"/>
  <c r="N8" i="1"/>
  <c r="M8" i="1"/>
  <c r="E7" i="1"/>
  <c r="N7" i="1"/>
  <c r="M7" i="1"/>
  <c r="L8" i="1"/>
  <c r="L7" i="1"/>
  <c r="K8" i="1"/>
  <c r="K7" i="1"/>
  <c r="J8" i="1"/>
  <c r="J7" i="1"/>
  <c r="C12" i="1"/>
  <c r="D11" i="1"/>
  <c r="D12" i="1" l="1"/>
  <c r="C13" i="1"/>
  <c r="D13" i="1" l="1"/>
  <c r="C14" i="1"/>
  <c r="D14" i="1" l="1"/>
  <c r="C15" i="1"/>
  <c r="D15" i="1" l="1"/>
  <c r="C16" i="1"/>
  <c r="D16" i="1" l="1"/>
  <c r="C17" i="1"/>
  <c r="D17" i="1" l="1"/>
  <c r="C18" i="1"/>
  <c r="C19" i="1" l="1"/>
  <c r="D18" i="1"/>
  <c r="C20" i="1" l="1"/>
  <c r="D19" i="1"/>
  <c r="D20" i="1" l="1"/>
  <c r="C21" i="1"/>
  <c r="C22" i="1" l="1"/>
  <c r="D21" i="1"/>
  <c r="D22" i="1" l="1"/>
  <c r="C23" i="1"/>
  <c r="C24" i="1" l="1"/>
  <c r="D23" i="1"/>
  <c r="C25" i="1" l="1"/>
  <c r="D24" i="1"/>
  <c r="D25" i="1" l="1"/>
  <c r="C26" i="1"/>
  <c r="D26" i="1" l="1"/>
  <c r="C27" i="1"/>
  <c r="D27" i="1" s="1"/>
</calcChain>
</file>

<file path=xl/sharedStrings.xml><?xml version="1.0" encoding="utf-8"?>
<sst xmlns="http://schemas.openxmlformats.org/spreadsheetml/2006/main" count="23" uniqueCount="12">
  <si>
    <t>Interpolasi</t>
  </si>
  <si>
    <t>Linier</t>
  </si>
  <si>
    <t>y</t>
  </si>
  <si>
    <t>x</t>
  </si>
  <si>
    <t>n</t>
  </si>
  <si>
    <t>y_i</t>
  </si>
  <si>
    <t>x_1</t>
  </si>
  <si>
    <t>Kuadrat</t>
  </si>
  <si>
    <t>I</t>
  </si>
  <si>
    <t>II</t>
  </si>
  <si>
    <t>III</t>
  </si>
  <si>
    <t>Newton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</si>
</sst>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6C6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5050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/>
    <xf numFmtId="0" fontId="1" fillId="4" borderId="0" xfId="0" applyFont="1" applyFill="1" applyBorder="1" applyAlignment="1">
      <alignment horizontal="center"/>
    </xf>
    <xf numFmtId="0" fontId="0" fillId="4" borderId="0" xfId="0" applyFill="1"/>
    <xf numFmtId="0" fontId="0" fillId="5" borderId="4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4" xfId="0" applyBorder="1"/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Sheet1!$C$11:$C$35</c:f>
              <c:numCache>
                <c:formatCode>General</c:formatCode>
                <c:ptCount val="25"/>
                <c:pt idx="0">
                  <c:v>1</c:v>
                </c:pt>
                <c:pt idx="1">
                  <c:v>1.1000000000000001</c:v>
                </c:pt>
                <c:pt idx="2">
                  <c:v>1.2000000000000002</c:v>
                </c:pt>
                <c:pt idx="3">
                  <c:v>1.3000000000000003</c:v>
                </c:pt>
                <c:pt idx="4">
                  <c:v>1.4000000000000004</c:v>
                </c:pt>
                <c:pt idx="5">
                  <c:v>1.5000000000000004</c:v>
                </c:pt>
                <c:pt idx="6">
                  <c:v>1.6000000000000005</c:v>
                </c:pt>
                <c:pt idx="7">
                  <c:v>1.7000000000000006</c:v>
                </c:pt>
                <c:pt idx="8">
                  <c:v>1.8000000000000007</c:v>
                </c:pt>
                <c:pt idx="9">
                  <c:v>1.9000000000000008</c:v>
                </c:pt>
                <c:pt idx="10">
                  <c:v>2.0000000000000009</c:v>
                </c:pt>
                <c:pt idx="11">
                  <c:v>2.100000000000001</c:v>
                </c:pt>
                <c:pt idx="12">
                  <c:v>2.2000000000000011</c:v>
                </c:pt>
                <c:pt idx="13">
                  <c:v>2.3000000000000012</c:v>
                </c:pt>
                <c:pt idx="14">
                  <c:v>2.4000000000000012</c:v>
                </c:pt>
                <c:pt idx="15">
                  <c:v>2.5000000000000013</c:v>
                </c:pt>
                <c:pt idx="16">
                  <c:v>2.6000000000000014</c:v>
                </c:pt>
              </c:numCache>
            </c:numRef>
          </c:xVal>
          <c:yVal>
            <c:numRef>
              <c:f>Sheet1!$D$11:$D$35</c:f>
              <c:numCache>
                <c:formatCode>General</c:formatCode>
                <c:ptCount val="25"/>
                <c:pt idx="0">
                  <c:v>0</c:v>
                </c:pt>
                <c:pt idx="1">
                  <c:v>4.620000000000004E-2</c:v>
                </c:pt>
                <c:pt idx="2">
                  <c:v>9.2400000000000079E-2</c:v>
                </c:pt>
                <c:pt idx="3">
                  <c:v>0.13860000000000011</c:v>
                </c:pt>
                <c:pt idx="4">
                  <c:v>0.18480000000000016</c:v>
                </c:pt>
                <c:pt idx="5">
                  <c:v>0.23100000000000018</c:v>
                </c:pt>
                <c:pt idx="6">
                  <c:v>0.27720000000000022</c:v>
                </c:pt>
                <c:pt idx="7">
                  <c:v>0.32340000000000024</c:v>
                </c:pt>
                <c:pt idx="8">
                  <c:v>0.36960000000000032</c:v>
                </c:pt>
                <c:pt idx="9">
                  <c:v>0.41580000000000034</c:v>
                </c:pt>
                <c:pt idx="10">
                  <c:v>0.46200000000000035</c:v>
                </c:pt>
                <c:pt idx="11">
                  <c:v>0.50820000000000043</c:v>
                </c:pt>
                <c:pt idx="12">
                  <c:v>0.55440000000000045</c:v>
                </c:pt>
                <c:pt idx="13">
                  <c:v>0.60060000000000047</c:v>
                </c:pt>
                <c:pt idx="14">
                  <c:v>0.64680000000000049</c:v>
                </c:pt>
                <c:pt idx="15">
                  <c:v>0.69300000000000062</c:v>
                </c:pt>
                <c:pt idx="16">
                  <c:v>0.73920000000000063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54-4995-AE99-5284AC88F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12496"/>
        <c:axId val="165844416"/>
      </c:scatterChart>
      <c:valAx>
        <c:axId val="15151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44416"/>
        <c:crosses val="autoZero"/>
        <c:crossBetween val="midCat"/>
      </c:valAx>
      <c:valAx>
        <c:axId val="16584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1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strRef>
              <c:f>Sheet1!$K$11:$K$27</c:f>
              <c:strCache>
                <c:ptCount val="17"/>
                <c:pt idx="0">
                  <c:v>x_1</c:v>
                </c:pt>
                <c:pt idx="1">
                  <c:v>1</c:v>
                </c:pt>
                <c:pt idx="2">
                  <c:v>1,1</c:v>
                </c:pt>
                <c:pt idx="3">
                  <c:v>1,2</c:v>
                </c:pt>
                <c:pt idx="4">
                  <c:v>1,3</c:v>
                </c:pt>
                <c:pt idx="5">
                  <c:v>1,4</c:v>
                </c:pt>
                <c:pt idx="6">
                  <c:v>1,5</c:v>
                </c:pt>
                <c:pt idx="7">
                  <c:v>1,6</c:v>
                </c:pt>
                <c:pt idx="8">
                  <c:v>1,7</c:v>
                </c:pt>
                <c:pt idx="9">
                  <c:v>1,8</c:v>
                </c:pt>
                <c:pt idx="10">
                  <c:v>1,9</c:v>
                </c:pt>
                <c:pt idx="11">
                  <c:v>2</c:v>
                </c:pt>
                <c:pt idx="12">
                  <c:v>2,1</c:v>
                </c:pt>
                <c:pt idx="13">
                  <c:v>2,2</c:v>
                </c:pt>
                <c:pt idx="14">
                  <c:v>2,3</c:v>
                </c:pt>
                <c:pt idx="15">
                  <c:v>2,4</c:v>
                </c:pt>
                <c:pt idx="16">
                  <c:v>2,5</c:v>
                </c:pt>
              </c:strCache>
            </c:strRef>
          </c:xVal>
          <c:yVal>
            <c:numRef>
              <c:f>Sheet1!$L$11:$L$27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6.1222000000000047E-2</c:v>
                </c:pt>
                <c:pt idx="3">
                  <c:v>0.12140800000000009</c:v>
                </c:pt>
                <c:pt idx="4">
                  <c:v>0.18055800000000014</c:v>
                </c:pt>
                <c:pt idx="5">
                  <c:v>0.23867200000000016</c:v>
                </c:pt>
                <c:pt idx="6">
                  <c:v>0.29575000000000018</c:v>
                </c:pt>
                <c:pt idx="7">
                  <c:v>0.35179200000000022</c:v>
                </c:pt>
                <c:pt idx="8">
                  <c:v>0.40679800000000027</c:v>
                </c:pt>
                <c:pt idx="9">
                  <c:v>0.46076800000000034</c:v>
                </c:pt>
                <c:pt idx="10">
                  <c:v>0.51370200000000033</c:v>
                </c:pt>
                <c:pt idx="11">
                  <c:v>0.56560000000000032</c:v>
                </c:pt>
                <c:pt idx="12">
                  <c:v>0.6164620000000004</c:v>
                </c:pt>
                <c:pt idx="13">
                  <c:v>0.66628800000000044</c:v>
                </c:pt>
                <c:pt idx="14">
                  <c:v>0.71507800000000044</c:v>
                </c:pt>
                <c:pt idx="15">
                  <c:v>0.7628320000000004</c:v>
                </c:pt>
                <c:pt idx="16">
                  <c:v>0.80955000000000055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03-45EC-B05D-03BBD7D47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496384"/>
        <c:axId val="1788782048"/>
      </c:scatterChart>
      <c:valAx>
        <c:axId val="16649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782048"/>
        <c:crosses val="autoZero"/>
        <c:crossBetween val="midCat"/>
      </c:valAx>
      <c:valAx>
        <c:axId val="178878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9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231320</xdr:colOff>
      <xdr:row>13</xdr:row>
      <xdr:rowOff>13606</xdr:rowOff>
    </xdr:from>
    <xdr:to>
      <xdr:col>9</xdr:col>
      <xdr:colOff>176893</xdr:colOff>
      <xdr:row>21</xdr:row>
      <xdr:rowOff>149677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EC7E57-DB93-5817-2E36-88DA526F55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170089</xdr:colOff>
      <xdr:row>13</xdr:row>
      <xdr:rowOff>16328</xdr:rowOff>
    </xdr:from>
    <xdr:to>
      <xdr:col>16</xdr:col>
      <xdr:colOff>108858</xdr:colOff>
      <xdr:row>21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77FE71-0537-6FFA-BF98-C6F9BBEF8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F8A69-5797-4548-B934-226BA235DC09}">
  <dimension ref="A2:V28"/>
  <sheetViews>
    <sheetView tabSelected="1" zoomScale="70" zoomScaleNormal="70" workbookViewId="0">
      <selection activeCell="T18" sqref="T18"/>
    </sheetView>
  </sheetViews>
  <sheetFormatPr defaultRowHeight="15" x14ac:dyDescent="0.25"/>
  <cols>
    <col min="12" max="12" width="9.140625" customWidth="1"/>
    <col min="13" max="13" width="14.7109375" customWidth="1"/>
    <col min="14" max="14" width="12.7109375" customWidth="1"/>
    <col min="20" max="20" width="14.7109375" customWidth="1"/>
    <col min="21" max="21" width="10" customWidth="1"/>
  </cols>
  <sheetData>
    <row r="2" spans="1:22" ht="18.75" x14ac:dyDescent="0.3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4" spans="1:22" x14ac:dyDescent="0.25">
      <c r="B4" s="15" t="s">
        <v>1</v>
      </c>
      <c r="C4" s="15"/>
      <c r="D4" s="15"/>
      <c r="K4" s="15" t="s">
        <v>7</v>
      </c>
      <c r="L4" s="15"/>
      <c r="M4" s="15"/>
      <c r="R4" s="1" t="s">
        <v>11</v>
      </c>
      <c r="S4" s="1"/>
      <c r="T4" s="1"/>
    </row>
    <row r="5" spans="1:22" x14ac:dyDescent="0.25">
      <c r="T5" s="16"/>
    </row>
    <row r="6" spans="1:22" x14ac:dyDescent="0.25">
      <c r="B6" s="9" t="s">
        <v>4</v>
      </c>
      <c r="C6" s="9" t="s">
        <v>3</v>
      </c>
      <c r="D6" s="9" t="s">
        <v>2</v>
      </c>
      <c r="E6" s="9" t="s">
        <v>1</v>
      </c>
      <c r="J6" s="9" t="s">
        <v>4</v>
      </c>
      <c r="K6" s="9" t="s">
        <v>3</v>
      </c>
      <c r="L6" s="9" t="s">
        <v>2</v>
      </c>
      <c r="M6" s="9" t="s">
        <v>1</v>
      </c>
      <c r="N6" s="9" t="s">
        <v>7</v>
      </c>
      <c r="P6" s="9" t="s">
        <v>4</v>
      </c>
      <c r="Q6" s="9" t="s">
        <v>3</v>
      </c>
      <c r="R6" s="9" t="s">
        <v>2</v>
      </c>
      <c r="S6" s="9" t="s">
        <v>8</v>
      </c>
      <c r="T6" s="9" t="s">
        <v>9</v>
      </c>
      <c r="U6" s="9" t="s">
        <v>10</v>
      </c>
    </row>
    <row r="7" spans="1:22" x14ac:dyDescent="0.25">
      <c r="B7" s="2">
        <v>0</v>
      </c>
      <c r="C7" s="2">
        <v>1</v>
      </c>
      <c r="D7" s="6">
        <v>0</v>
      </c>
      <c r="E7" s="7">
        <f>(D7+(D8-D7)/(C8-C7))*(2-C7)</f>
        <v>0.46199999999999997</v>
      </c>
      <c r="F7" s="8"/>
      <c r="J7" s="5">
        <f>B7</f>
        <v>0</v>
      </c>
      <c r="K7" s="5">
        <f>C7</f>
        <v>1</v>
      </c>
      <c r="L7" s="5">
        <f>D7</f>
        <v>0</v>
      </c>
      <c r="M7" s="11">
        <f>E7</f>
        <v>0.46199999999999997</v>
      </c>
      <c r="N7" s="12">
        <f>L7+M7*(2-K7)</f>
        <v>0.46199999999999997</v>
      </c>
      <c r="P7" s="13">
        <v>0</v>
      </c>
      <c r="Q7" s="13">
        <v>1</v>
      </c>
      <c r="R7" s="13">
        <v>0</v>
      </c>
      <c r="S7" s="13">
        <f>((R8-R7)/(Q8-Q7))</f>
        <v>0.46199999999999997</v>
      </c>
      <c r="T7" s="13">
        <f>(S8-S7)/(Q9-Q7)</f>
        <v>-5.9499999999999942E-2</v>
      </c>
      <c r="U7" s="13">
        <f>(T8-T7)/(Q10-Q7)</f>
        <v>7.6999999999999621E-3</v>
      </c>
    </row>
    <row r="8" spans="1:22" x14ac:dyDescent="0.25">
      <c r="B8" s="4">
        <v>1</v>
      </c>
      <c r="C8" s="5">
        <v>4</v>
      </c>
      <c r="D8" s="5">
        <v>1.3859999999999999</v>
      </c>
      <c r="E8" s="4"/>
      <c r="F8" s="8"/>
      <c r="J8" s="5">
        <f>B8</f>
        <v>1</v>
      </c>
      <c r="K8" s="5">
        <f>C8</f>
        <v>4</v>
      </c>
      <c r="L8" s="5">
        <f>D8</f>
        <v>1.3859999999999999</v>
      </c>
      <c r="M8" s="5">
        <f>(L9-L8)/(K9-K8)</f>
        <v>0.20300000000000007</v>
      </c>
      <c r="N8" s="13">
        <f>L7+M7*(2-K7)+((M8-M7)/(K9-K7))*(2-K7)*(2-K8)</f>
        <v>0.56559999999999988</v>
      </c>
      <c r="P8" s="13">
        <v>1</v>
      </c>
      <c r="Q8" s="13">
        <v>4</v>
      </c>
      <c r="R8" s="13">
        <v>1.3859999999999999</v>
      </c>
      <c r="S8" s="13">
        <f>((R9-R8)/(Q9-Q8))</f>
        <v>0.2240000000000002</v>
      </c>
      <c r="T8" s="13">
        <f>(S9-S8)/(Q10-Q8)</f>
        <v>-2.100000000000013E-2</v>
      </c>
      <c r="U8" s="13"/>
    </row>
    <row r="9" spans="1:22" x14ac:dyDescent="0.25">
      <c r="B9" s="3"/>
      <c r="C9" s="3"/>
      <c r="D9" s="3"/>
      <c r="E9" s="3"/>
      <c r="J9" s="13">
        <v>2</v>
      </c>
      <c r="K9" s="13">
        <v>6</v>
      </c>
      <c r="L9" s="13">
        <v>1.792</v>
      </c>
      <c r="M9" s="13"/>
      <c r="N9" s="13"/>
      <c r="P9" s="13">
        <v>2</v>
      </c>
      <c r="Q9" s="13">
        <v>5</v>
      </c>
      <c r="R9" s="13">
        <v>1.61</v>
      </c>
      <c r="S9" s="13">
        <f>((R10-R9)/(Q10-Q9))</f>
        <v>0.18199999999999994</v>
      </c>
      <c r="T9" s="13"/>
      <c r="U9" s="13"/>
    </row>
    <row r="10" spans="1:22" x14ac:dyDescent="0.25">
      <c r="C10" s="10" t="s">
        <v>6</v>
      </c>
      <c r="D10" s="10" t="s">
        <v>5</v>
      </c>
      <c r="P10" s="13">
        <v>3</v>
      </c>
      <c r="Q10" s="13">
        <v>6</v>
      </c>
      <c r="R10" s="13">
        <v>1.792</v>
      </c>
      <c r="S10" s="13"/>
      <c r="T10" s="13"/>
      <c r="U10" s="13"/>
    </row>
    <row r="11" spans="1:22" x14ac:dyDescent="0.25">
      <c r="C11">
        <v>1</v>
      </c>
      <c r="D11">
        <f>$D$7+(($D$8-$D$7)/($C$8-$C$7))*(C11-$C$7)</f>
        <v>0</v>
      </c>
      <c r="K11" s="10" t="s">
        <v>6</v>
      </c>
      <c r="L11" s="10" t="s">
        <v>5</v>
      </c>
    </row>
    <row r="12" spans="1:22" x14ac:dyDescent="0.25">
      <c r="C12">
        <f>C11+0.1</f>
        <v>1.1000000000000001</v>
      </c>
      <c r="D12">
        <f t="shared" ref="D12:D27" si="0">$D$7+(($D$8-$D$7)/($C$8-$C$7))*(C12-$C$7)</f>
        <v>4.620000000000004E-2</v>
      </c>
      <c r="K12">
        <v>1</v>
      </c>
      <c r="L12">
        <f>$L$7+$M$7*(K12-$K$7)+$N$7*($K$12-$K$7)*(K12-$K$8)</f>
        <v>0</v>
      </c>
    </row>
    <row r="13" spans="1:22" x14ac:dyDescent="0.25">
      <c r="C13">
        <f t="shared" ref="C13:C20" si="1">C12+0.1</f>
        <v>1.2000000000000002</v>
      </c>
      <c r="D13">
        <f t="shared" si="0"/>
        <v>9.2400000000000079E-2</v>
      </c>
      <c r="K13">
        <f>K12+0.1</f>
        <v>1.1000000000000001</v>
      </c>
      <c r="L13">
        <f>$L$7+$M$7*(K13-$K$7)+((($L$9-$L$8)/($K$9-$K$8)-$M$7)/($K$9-$K$7))*(K13-$K$7)*(K13-$K$8)</f>
        <v>6.1222000000000047E-2</v>
      </c>
    </row>
    <row r="14" spans="1:22" x14ac:dyDescent="0.25">
      <c r="C14">
        <f t="shared" si="1"/>
        <v>1.3000000000000003</v>
      </c>
      <c r="D14">
        <f t="shared" si="0"/>
        <v>0.13860000000000011</v>
      </c>
      <c r="K14">
        <f t="shared" ref="K14:K23" si="2">K13+0.1</f>
        <v>1.2000000000000002</v>
      </c>
      <c r="L14">
        <f t="shared" ref="L14:L28" si="3">$L$7+$M$7*(K14-$K$7)+((($L$9-$L$8)/($K$9-$K$8)-$M$7)/($K$9-$K$7))*(K14-$K$7)*(K14-$K$8)</f>
        <v>0.12140800000000009</v>
      </c>
    </row>
    <row r="15" spans="1:22" x14ac:dyDescent="0.25">
      <c r="C15">
        <f t="shared" si="1"/>
        <v>1.4000000000000004</v>
      </c>
      <c r="D15">
        <f t="shared" si="0"/>
        <v>0.18480000000000016</v>
      </c>
      <c r="K15">
        <f t="shared" si="2"/>
        <v>1.3000000000000003</v>
      </c>
      <c r="L15">
        <f t="shared" si="3"/>
        <v>0.18055800000000014</v>
      </c>
    </row>
    <row r="16" spans="1:22" x14ac:dyDescent="0.25">
      <c r="C16">
        <f t="shared" si="1"/>
        <v>1.5000000000000004</v>
      </c>
      <c r="D16">
        <f t="shared" si="0"/>
        <v>0.23100000000000018</v>
      </c>
      <c r="K16">
        <f t="shared" si="2"/>
        <v>1.4000000000000004</v>
      </c>
      <c r="L16">
        <f t="shared" si="3"/>
        <v>0.23867200000000016</v>
      </c>
    </row>
    <row r="17" spans="3:12" x14ac:dyDescent="0.25">
      <c r="C17">
        <f t="shared" si="1"/>
        <v>1.6000000000000005</v>
      </c>
      <c r="D17">
        <f t="shared" si="0"/>
        <v>0.27720000000000022</v>
      </c>
      <c r="K17">
        <f t="shared" si="2"/>
        <v>1.5000000000000004</v>
      </c>
      <c r="L17">
        <f t="shared" si="3"/>
        <v>0.29575000000000018</v>
      </c>
    </row>
    <row r="18" spans="3:12" x14ac:dyDescent="0.25">
      <c r="C18">
        <f t="shared" si="1"/>
        <v>1.7000000000000006</v>
      </c>
      <c r="D18">
        <f t="shared" si="0"/>
        <v>0.32340000000000024</v>
      </c>
      <c r="K18">
        <f t="shared" si="2"/>
        <v>1.6000000000000005</v>
      </c>
      <c r="L18">
        <f t="shared" si="3"/>
        <v>0.35179200000000022</v>
      </c>
    </row>
    <row r="19" spans="3:12" x14ac:dyDescent="0.25">
      <c r="C19">
        <f>C18+0.1</f>
        <v>1.8000000000000007</v>
      </c>
      <c r="D19">
        <f t="shared" si="0"/>
        <v>0.36960000000000032</v>
      </c>
      <c r="K19">
        <f t="shared" si="2"/>
        <v>1.7000000000000006</v>
      </c>
      <c r="L19">
        <f t="shared" si="3"/>
        <v>0.40679800000000027</v>
      </c>
    </row>
    <row r="20" spans="3:12" x14ac:dyDescent="0.25">
      <c r="C20">
        <f t="shared" si="1"/>
        <v>1.9000000000000008</v>
      </c>
      <c r="D20">
        <f t="shared" si="0"/>
        <v>0.41580000000000034</v>
      </c>
      <c r="K20">
        <f t="shared" si="2"/>
        <v>1.8000000000000007</v>
      </c>
      <c r="L20">
        <f t="shared" si="3"/>
        <v>0.46076800000000034</v>
      </c>
    </row>
    <row r="21" spans="3:12" x14ac:dyDescent="0.25">
      <c r="C21">
        <f>C20+0.1</f>
        <v>2.0000000000000009</v>
      </c>
      <c r="D21">
        <f t="shared" si="0"/>
        <v>0.46200000000000035</v>
      </c>
      <c r="K21">
        <f t="shared" si="2"/>
        <v>1.9000000000000008</v>
      </c>
      <c r="L21">
        <f t="shared" si="3"/>
        <v>0.51370200000000033</v>
      </c>
    </row>
    <row r="22" spans="3:12" x14ac:dyDescent="0.25">
      <c r="C22">
        <f t="shared" ref="C22:C27" si="4">C21+0.1</f>
        <v>2.100000000000001</v>
      </c>
      <c r="D22">
        <f t="shared" si="0"/>
        <v>0.50820000000000043</v>
      </c>
      <c r="K22">
        <f t="shared" si="2"/>
        <v>2.0000000000000009</v>
      </c>
      <c r="L22">
        <f t="shared" si="3"/>
        <v>0.56560000000000032</v>
      </c>
    </row>
    <row r="23" spans="3:12" x14ac:dyDescent="0.25">
      <c r="C23">
        <f t="shared" si="4"/>
        <v>2.2000000000000011</v>
      </c>
      <c r="D23">
        <f t="shared" si="0"/>
        <v>0.55440000000000045</v>
      </c>
      <c r="K23">
        <f t="shared" ref="K23:K28" si="5">K22+0.1</f>
        <v>2.100000000000001</v>
      </c>
      <c r="L23">
        <f t="shared" si="3"/>
        <v>0.6164620000000004</v>
      </c>
    </row>
    <row r="24" spans="3:12" x14ac:dyDescent="0.25">
      <c r="C24">
        <f t="shared" si="4"/>
        <v>2.3000000000000012</v>
      </c>
      <c r="D24">
        <f t="shared" si="0"/>
        <v>0.60060000000000047</v>
      </c>
      <c r="K24">
        <f t="shared" si="5"/>
        <v>2.2000000000000011</v>
      </c>
      <c r="L24">
        <f t="shared" si="3"/>
        <v>0.66628800000000044</v>
      </c>
    </row>
    <row r="25" spans="3:12" x14ac:dyDescent="0.25">
      <c r="C25">
        <f t="shared" si="4"/>
        <v>2.4000000000000012</v>
      </c>
      <c r="D25">
        <f t="shared" si="0"/>
        <v>0.64680000000000049</v>
      </c>
      <c r="K25">
        <f t="shared" si="5"/>
        <v>2.3000000000000012</v>
      </c>
      <c r="L25">
        <f t="shared" si="3"/>
        <v>0.71507800000000044</v>
      </c>
    </row>
    <row r="26" spans="3:12" x14ac:dyDescent="0.25">
      <c r="C26">
        <f t="shared" si="4"/>
        <v>2.5000000000000013</v>
      </c>
      <c r="D26">
        <f t="shared" si="0"/>
        <v>0.69300000000000062</v>
      </c>
      <c r="K26">
        <f t="shared" si="5"/>
        <v>2.4000000000000012</v>
      </c>
      <c r="L26">
        <f t="shared" si="3"/>
        <v>0.7628320000000004</v>
      </c>
    </row>
    <row r="27" spans="3:12" x14ac:dyDescent="0.25">
      <c r="C27">
        <f t="shared" si="4"/>
        <v>2.6000000000000014</v>
      </c>
      <c r="D27">
        <f t="shared" si="0"/>
        <v>0.73920000000000063</v>
      </c>
      <c r="K27">
        <f t="shared" si="5"/>
        <v>2.5000000000000013</v>
      </c>
      <c r="L27">
        <f t="shared" si="3"/>
        <v>0.80955000000000055</v>
      </c>
    </row>
    <row r="28" spans="3:12" x14ac:dyDescent="0.25">
      <c r="K28">
        <f t="shared" si="5"/>
        <v>2.6000000000000014</v>
      </c>
      <c r="L28">
        <f t="shared" si="3"/>
        <v>0.85523200000000055</v>
      </c>
    </row>
  </sheetData>
  <mergeCells count="4">
    <mergeCell ref="B4:D4"/>
    <mergeCell ref="K4:M4"/>
    <mergeCell ref="R4:T4"/>
    <mergeCell ref="A2:V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Mahasiswa</cp:lastModifiedBy>
  <dcterms:created xsi:type="dcterms:W3CDTF">2026-10-16T07:03:53Z</dcterms:created>
  <dcterms:modified xsi:type="dcterms:W3CDTF">2026-10-16T08:24:24Z</dcterms:modified>
</cp:coreProperties>
</file>