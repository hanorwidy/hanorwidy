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TNUM\"/>
    </mc:Choice>
  </mc:AlternateContent>
  <xr:revisionPtr revIDLastSave="0" documentId="13_ncr:1_{7EDB547D-007B-4AD3-B21B-DC0F04C7072E}" xr6:coauthVersionLast="47" xr6:coauthVersionMax="47" xr10:uidLastSave="{00000000-0000-0000-0000-000000000000}"/>
  <bookViews>
    <workbookView xWindow="-120" yWindow="-120" windowWidth="21840" windowHeight="13140" xr2:uid="{8FE49CA3-A0B8-45A3-913B-DE8AF1EA9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5" i="1" l="1"/>
  <c r="AZ6" i="1"/>
  <c r="AZ7" i="1"/>
  <c r="AZ8" i="1"/>
  <c r="AZ9" i="1"/>
  <c r="AZ10" i="1"/>
  <c r="AZ4" i="1"/>
  <c r="AY6" i="1"/>
  <c r="AY7" i="1"/>
  <c r="AY8" i="1"/>
  <c r="AY9" i="1"/>
  <c r="AY10" i="1"/>
  <c r="AY5" i="1"/>
  <c r="AX5" i="1"/>
  <c r="AX6" i="1"/>
  <c r="AX7" i="1"/>
  <c r="AX8" i="1"/>
  <c r="AX9" i="1"/>
  <c r="AX10" i="1"/>
  <c r="AX4" i="1"/>
  <c r="AW5" i="1"/>
  <c r="AV5" i="1"/>
  <c r="AU6" i="1" s="1"/>
  <c r="AV4" i="1"/>
  <c r="AI4" i="1"/>
  <c r="W4" i="1"/>
  <c r="X4" i="1" s="1"/>
  <c r="V4" i="1"/>
  <c r="H4" i="1"/>
  <c r="J4" i="1" s="1"/>
  <c r="I4" i="1"/>
  <c r="M4" i="1"/>
  <c r="AW6" i="1" l="1"/>
  <c r="AV6" i="1"/>
  <c r="AU7" i="1"/>
  <c r="AJ4" i="1"/>
  <c r="AI5" i="1" s="1"/>
  <c r="AM4" i="1"/>
  <c r="AK4" i="1"/>
  <c r="Y4" i="1"/>
  <c r="Z4" i="1" s="1"/>
  <c r="AB4" i="1"/>
  <c r="T5" i="1"/>
  <c r="U5" i="1"/>
  <c r="W5" i="1" s="1"/>
  <c r="AV7" i="1"/>
  <c r="AU8" i="1"/>
  <c r="K4" i="1"/>
  <c r="F5" i="1"/>
  <c r="G5" i="1"/>
  <c r="AW7" i="1" l="1"/>
  <c r="AK5" i="1"/>
  <c r="AM5" i="1"/>
  <c r="AJ5" i="1"/>
  <c r="AI6" i="1" s="1"/>
  <c r="AL5" i="1"/>
  <c r="V5" i="1"/>
  <c r="X5" i="1"/>
  <c r="AW8" i="1"/>
  <c r="AV8" i="1"/>
  <c r="AU9" i="1" s="1"/>
  <c r="I5" i="1"/>
  <c r="H5" i="1"/>
  <c r="AK6" i="1" l="1"/>
  <c r="AJ6" i="1"/>
  <c r="AI7" i="1" s="1"/>
  <c r="AM6" i="1"/>
  <c r="AL6" i="1"/>
  <c r="AB5" i="1"/>
  <c r="Y5" i="1"/>
  <c r="Z5" i="1" s="1"/>
  <c r="AA5" i="1"/>
  <c r="AA6" i="1"/>
  <c r="AW9" i="1"/>
  <c r="AV9" i="1"/>
  <c r="AU10" i="1" s="1"/>
  <c r="M5" i="1"/>
  <c r="J5" i="1"/>
  <c r="K5" i="1" s="1"/>
  <c r="L5" i="1"/>
  <c r="AK7" i="1" l="1"/>
  <c r="AJ7" i="1"/>
  <c r="AI8" i="1" s="1"/>
  <c r="AL7" i="1"/>
  <c r="AM7" i="1"/>
  <c r="U6" i="1"/>
  <c r="W6" i="1" s="1"/>
  <c r="T6" i="1"/>
  <c r="AV10" i="1"/>
  <c r="AW10" i="1"/>
  <c r="F6" i="1"/>
  <c r="G6" i="1"/>
  <c r="AK8" i="1" l="1"/>
  <c r="AJ8" i="1"/>
  <c r="AM8" i="1"/>
  <c r="AL8" i="1"/>
  <c r="V6" i="1"/>
  <c r="X6" i="1" s="1"/>
  <c r="H6" i="1"/>
  <c r="I6" i="1"/>
  <c r="AA7" i="1" l="1"/>
  <c r="AB6" i="1"/>
  <c r="Y6" i="1"/>
  <c r="Z6" i="1" s="1"/>
  <c r="M6" i="1"/>
  <c r="L6" i="1"/>
  <c r="J6" i="1"/>
  <c r="K6" i="1" s="1"/>
  <c r="T7" i="1" l="1"/>
  <c r="U7" i="1"/>
  <c r="W7" i="1" s="1"/>
  <c r="G7" i="1"/>
  <c r="F7" i="1"/>
  <c r="V7" i="1" l="1"/>
  <c r="X7" i="1" s="1"/>
  <c r="H7" i="1"/>
  <c r="I7" i="1"/>
  <c r="AA8" i="1" l="1"/>
  <c r="AB7" i="1"/>
  <c r="Y7" i="1"/>
  <c r="Z7" i="1" s="1"/>
  <c r="U8" i="1"/>
  <c r="W8" i="1" s="1"/>
  <c r="T8" i="1"/>
  <c r="V8" i="1" s="1"/>
  <c r="X8" i="1" s="1"/>
  <c r="J7" i="1"/>
  <c r="K7" i="1" s="1"/>
  <c r="L7" i="1"/>
  <c r="M7" i="1"/>
  <c r="AA9" i="1" l="1"/>
  <c r="AB8" i="1"/>
  <c r="Y8" i="1"/>
  <c r="Z8" i="1" s="1"/>
  <c r="G8" i="1"/>
  <c r="H8" i="1" s="1"/>
  <c r="F8" i="1"/>
  <c r="I8" i="1"/>
  <c r="U9" i="1" l="1"/>
  <c r="W9" i="1" s="1"/>
  <c r="T9" i="1"/>
  <c r="V9" i="1" s="1"/>
  <c r="X9" i="1" s="1"/>
  <c r="M8" i="1"/>
  <c r="J8" i="1"/>
  <c r="K8" i="1" s="1"/>
  <c r="L8" i="1"/>
  <c r="AA10" i="1" l="1"/>
  <c r="AB9" i="1"/>
  <c r="Y9" i="1"/>
  <c r="Z9" i="1" s="1"/>
  <c r="G9" i="1"/>
  <c r="F9" i="1"/>
  <c r="T10" i="1" l="1"/>
  <c r="V10" i="1" s="1"/>
  <c r="X10" i="1" s="1"/>
  <c r="U10" i="1"/>
  <c r="W10" i="1" s="1"/>
  <c r="H9" i="1"/>
  <c r="I9" i="1"/>
  <c r="AB10" i="1" l="1"/>
  <c r="Y10" i="1"/>
  <c r="Z10" i="1" s="1"/>
  <c r="M9" i="1"/>
  <c r="J9" i="1"/>
  <c r="K9" i="1" s="1"/>
  <c r="L9" i="1"/>
  <c r="G10" i="1" l="1"/>
  <c r="F10" i="1"/>
  <c r="I10" i="1" l="1"/>
  <c r="H10" i="1"/>
  <c r="L10" i="1" l="1"/>
  <c r="J10" i="1"/>
  <c r="K10" i="1" s="1"/>
  <c r="M10" i="1"/>
  <c r="G11" i="1" l="1"/>
  <c r="F11" i="1"/>
  <c r="H11" i="1" l="1"/>
  <c r="I11" i="1"/>
  <c r="J11" i="1" l="1"/>
  <c r="K11" i="1" s="1"/>
  <c r="M11" i="1"/>
  <c r="L11" i="1"/>
  <c r="F12" i="1" l="1"/>
  <c r="G12" i="1"/>
  <c r="H12" i="1" l="1"/>
  <c r="I12" i="1"/>
  <c r="L12" i="1" l="1"/>
  <c r="J12" i="1"/>
  <c r="K12" i="1" s="1"/>
  <c r="M12" i="1"/>
  <c r="G13" i="1" l="1"/>
  <c r="F13" i="1"/>
  <c r="H13" i="1" l="1"/>
  <c r="I13" i="1"/>
  <c r="M13" i="1"/>
  <c r="J13" i="1"/>
  <c r="K13" i="1" s="1"/>
  <c r="L13" i="1"/>
  <c r="F14" i="1" l="1"/>
  <c r="G14" i="1"/>
  <c r="H14" i="1" l="1"/>
  <c r="J14" i="1" s="1"/>
  <c r="K14" i="1" s="1"/>
  <c r="I14" i="1"/>
  <c r="L14" i="1"/>
  <c r="M14" i="1"/>
  <c r="G15" i="1" l="1"/>
  <c r="F15" i="1"/>
  <c r="I15" i="1" l="1"/>
  <c r="H15" i="1"/>
  <c r="J15" i="1"/>
  <c r="K15" i="1" s="1"/>
  <c r="M15" i="1"/>
  <c r="L15" i="1"/>
  <c r="G16" i="1" l="1"/>
  <c r="F16" i="1"/>
  <c r="H16" i="1" l="1"/>
  <c r="I16" i="1"/>
  <c r="M16" i="1" l="1"/>
  <c r="L16" i="1"/>
  <c r="J16" i="1"/>
  <c r="K16" i="1" s="1"/>
  <c r="F17" i="1" l="1"/>
  <c r="G17" i="1"/>
  <c r="H17" i="1" l="1"/>
  <c r="I17" i="1"/>
  <c r="M17" i="1" l="1"/>
  <c r="J17" i="1"/>
  <c r="K17" i="1" s="1"/>
  <c r="L17" i="1"/>
  <c r="F18" i="1" l="1"/>
  <c r="G18" i="1"/>
  <c r="I18" i="1" l="1"/>
  <c r="H18" i="1"/>
  <c r="M18" i="1" l="1"/>
  <c r="J18" i="1"/>
  <c r="K18" i="1" s="1"/>
  <c r="L18" i="1"/>
  <c r="F19" i="1" l="1"/>
  <c r="G19" i="1"/>
  <c r="H19" i="1" l="1"/>
  <c r="I19" i="1"/>
  <c r="M19" i="1" l="1"/>
  <c r="L19" i="1"/>
  <c r="J19" i="1"/>
  <c r="K19" i="1" s="1"/>
  <c r="F20" i="1" l="1"/>
  <c r="G20" i="1"/>
  <c r="H20" i="1" l="1"/>
  <c r="I20" i="1"/>
  <c r="L20" i="1" l="1"/>
  <c r="J20" i="1"/>
  <c r="K20" i="1" s="1"/>
  <c r="M20" i="1"/>
  <c r="G21" i="1" l="1"/>
  <c r="F21" i="1"/>
  <c r="I21" i="1" s="1"/>
  <c r="H21" i="1"/>
  <c r="M21" i="1" l="1"/>
  <c r="J21" i="1"/>
  <c r="K21" i="1" s="1"/>
  <c r="L21" i="1"/>
  <c r="F22" i="1" l="1"/>
  <c r="G22" i="1"/>
  <c r="H22" i="1"/>
  <c r="I22" i="1"/>
  <c r="L22" i="1" l="1"/>
  <c r="M22" i="1"/>
  <c r="J22" i="1"/>
  <c r="K22" i="1" s="1"/>
</calcChain>
</file>

<file path=xl/sharedStrings.xml><?xml version="1.0" encoding="utf-8"?>
<sst xmlns="http://schemas.openxmlformats.org/spreadsheetml/2006/main" count="50" uniqueCount="26">
  <si>
    <t>Metode Bagi Dua</t>
  </si>
  <si>
    <t>f(x) = x^2 - 3</t>
  </si>
  <si>
    <t>Interval</t>
  </si>
  <si>
    <t>a</t>
  </si>
  <si>
    <t>b</t>
  </si>
  <si>
    <t>x_n</t>
  </si>
  <si>
    <t>f(a)</t>
  </si>
  <si>
    <t>f(x_n)</t>
  </si>
  <si>
    <t>S.Eksak</t>
  </si>
  <si>
    <t>(1.2)</t>
  </si>
  <si>
    <t>f(a).f(x_n)</t>
  </si>
  <si>
    <t>Iterasi</t>
  </si>
  <si>
    <t>G. Hampiran</t>
  </si>
  <si>
    <t>G.Biasa</t>
  </si>
  <si>
    <t>Metode Posisi Palsu</t>
  </si>
  <si>
    <t>f(b)</t>
  </si>
  <si>
    <t>f(a)f(x_n)</t>
  </si>
  <si>
    <t>f(x)=x^2-3</t>
  </si>
  <si>
    <t>f(x)=2x</t>
  </si>
  <si>
    <t>x_0</t>
  </si>
  <si>
    <t>f'(x_n)</t>
  </si>
  <si>
    <t>Metode Newton</t>
  </si>
  <si>
    <t>Metode Secant</t>
  </si>
  <si>
    <t>n-1</t>
  </si>
  <si>
    <t>n+1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</si>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</sst>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63A4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3" borderId="0" xfId="0" applyFill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 BAGI 2</a:t>
            </a:r>
          </a:p>
          <a:p>
            <a:pPr>
              <a:defRPr/>
            </a:pP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x_n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Sheet1!$H$4:$H$22</c:f>
              <c:numCache>
                <c:formatCode>General</c:formatCode>
                <c:ptCount val="19"/>
                <c:pt idx="0">
                  <c:v>1.5</c:v>
                </c:pt>
                <c:pt idx="1">
                  <c:v>1.75</c:v>
                </c:pt>
                <c:pt idx="2">
                  <c:v>1.625</c:v>
                </c:pt>
                <c:pt idx="3">
                  <c:v>1.6875</c:v>
                </c:pt>
                <c:pt idx="4">
                  <c:v>1.71875</c:v>
                </c:pt>
                <c:pt idx="5">
                  <c:v>1.734375</c:v>
                </c:pt>
                <c:pt idx="6">
                  <c:v>1.7265625</c:v>
                </c:pt>
                <c:pt idx="7">
                  <c:v>1.73046875</c:v>
                </c:pt>
                <c:pt idx="8">
                  <c:v>1.732421875</c:v>
                </c:pt>
                <c:pt idx="9">
                  <c:v>1.7314453125</c:v>
                </c:pt>
                <c:pt idx="10">
                  <c:v>1.73193359375</c:v>
                </c:pt>
                <c:pt idx="11">
                  <c:v>1.732177734375</c:v>
                </c:pt>
                <c:pt idx="12">
                  <c:v>1.7320556640625</c:v>
                </c:pt>
                <c:pt idx="13">
                  <c:v>1.73199462890625</c:v>
                </c:pt>
                <c:pt idx="14">
                  <c:v>1.732025146484375</c:v>
                </c:pt>
                <c:pt idx="15">
                  <c:v>1.7320404052734375</c:v>
                </c:pt>
                <c:pt idx="16">
                  <c:v>1.7320480346679688</c:v>
                </c:pt>
                <c:pt idx="17">
                  <c:v>1.7320518493652344</c:v>
                </c:pt>
                <c:pt idx="18">
                  <c:v>1.7320499420166016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2-426E-9DF3-BEAD97E5C75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85192927"/>
        <c:axId val="434478175"/>
      </c:scatterChart>
      <c:valAx>
        <c:axId val="48519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78175"/>
        <c:crosses val="autoZero"/>
        <c:crossBetween val="midCat"/>
      </c:valAx>
      <c:valAx>
        <c:axId val="4344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9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 POSISI PALSU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Sheet1!$Y$3</c:f>
              <c:strCache>
                <c:ptCount val="1"/>
                <c:pt idx="0">
                  <c:v>f(x_n)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Sheet1!$Y$4:$Y$10</c:f>
              <c:numCache>
                <c:formatCode>General</c:formatCode>
                <c:ptCount val="7"/>
                <c:pt idx="0">
                  <c:v>-0.22222222222222276</c:v>
                </c:pt>
                <c:pt idx="1">
                  <c:v>-1.6528925619834656E-2</c:v>
                </c:pt>
                <c:pt idx="2">
                  <c:v>-1.1897679952408424E-3</c:v>
                </c:pt>
                <c:pt idx="3">
                  <c:v>-8.5437224998763384E-5</c:v>
                </c:pt>
                <c:pt idx="4">
                  <c:v>-6.1341978465634384E-6</c:v>
                </c:pt>
                <c:pt idx="5">
                  <c:v>-4.4041600810729165E-7</c:v>
                </c:pt>
                <c:pt idx="6">
                  <c:v>-3.162044892590643E-8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02-4206-A081-4C7AE49BE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121727"/>
        <c:axId val="434498335"/>
      </c:scatterChart>
      <c:valAx>
        <c:axId val="4621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98335"/>
        <c:crosses val="autoZero"/>
        <c:crossBetween val="midCat"/>
      </c:valAx>
      <c:valAx>
        <c:axId val="43449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2711796442111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2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</a:t>
            </a:r>
            <a:r>
              <a:rPr lang="en-ID" baseline="0"/>
              <a:t> NEWTON</a:t>
            </a:r>
            <a:r>
              <a:rPr lang="en-ID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Sheet1!$AK$3</c:f>
              <c:strCache>
                <c:ptCount val="1"/>
                <c:pt idx="0">
                  <c:v>f'(x_n)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Sheet1!$AK$4:$AK$8</c:f>
              <c:numCache>
                <c:formatCode>General</c:formatCode>
                <c:ptCount val="5"/>
                <c:pt idx="0">
                  <c:v>3</c:v>
                </c:pt>
                <c:pt idx="1">
                  <c:v>3.5</c:v>
                </c:pt>
                <c:pt idx="2">
                  <c:v>3.4642857142857144</c:v>
                </c:pt>
                <c:pt idx="3">
                  <c:v>3.4641016200294552</c:v>
                </c:pt>
                <c:pt idx="4">
                  <c:v>3.4641016151377544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1-4D1F-BE19-3483271C8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118943"/>
        <c:axId val="434477215"/>
      </c:scatterChart>
      <c:valAx>
        <c:axId val="46211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77215"/>
        <c:crosses val="autoZero"/>
        <c:crossBetween val="midCat"/>
      </c:valAx>
      <c:valAx>
        <c:axId val="4344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8962197433654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1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 SECANT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Sheet1!$AV$3</c:f>
              <c:strCache>
                <c:ptCount val="1"/>
                <c:pt idx="0">
                  <c:v>f(x_n)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Sheet1!$AV$4:$AV$10</c:f>
              <c:numCache>
                <c:formatCode>General</c:formatCode>
                <c:ptCount val="7"/>
                <c:pt idx="0">
                  <c:v>-2</c:v>
                </c:pt>
                <c:pt idx="1">
                  <c:v>1</c:v>
                </c:pt>
                <c:pt idx="2">
                  <c:v>-0.22222222222222188</c:v>
                </c:pt>
                <c:pt idx="3">
                  <c:v>-1.6528925619834656E-2</c:v>
                </c:pt>
                <c:pt idx="4">
                  <c:v>3.1887755102077975E-4</c:v>
                </c:pt>
                <c:pt idx="5">
                  <c:v>-4.4041600810729165E-7</c:v>
                </c:pt>
                <c:pt idx="6">
                  <c:v>-1.170263885796885E-11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C-4432-AF52-BB78FE116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541727"/>
        <c:axId val="2046415359"/>
      </c:scatterChart>
      <c:valAx>
        <c:axId val="46554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415359"/>
        <c:crosses val="autoZero"/>
        <c:crossBetween val="midCat"/>
      </c:valAx>
      <c:valAx>
        <c:axId val="204641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4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22</xdr:row>
      <xdr:rowOff>80962</xdr:rowOff>
    </xdr:from>
    <xdr:to>
      <xdr:col>7</xdr:col>
      <xdr:colOff>542925</xdr:colOff>
      <xdr:row>36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895EE7-BE85-FC76-C701-03033C55B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590550</xdr:colOff>
      <xdr:row>11</xdr:row>
      <xdr:rowOff>23812</xdr:rowOff>
    </xdr:from>
    <xdr:to>
      <xdr:col>25</xdr:col>
      <xdr:colOff>285750</xdr:colOff>
      <xdr:row>25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60A15B-90EE-E0FA-F08E-B6247E4C4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532278</xdr:colOff>
      <xdr:row>9</xdr:row>
      <xdr:rowOff>34738</xdr:rowOff>
    </xdr:from>
    <xdr:to>
      <xdr:col>38</xdr:col>
      <xdr:colOff>308161</xdr:colOff>
      <xdr:row>23</xdr:row>
      <xdr:rowOff>110938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16374D-C2F8-0171-7A83-189DE2B75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5603</xdr:colOff>
      <xdr:row>10</xdr:row>
      <xdr:rowOff>169210</xdr:rowOff>
    </xdr:from>
    <xdr:to>
      <xdr:col>52</xdr:col>
      <xdr:colOff>341779</xdr:colOff>
      <xdr:row>25</xdr:row>
      <xdr:rowOff>54910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7036415-B9E5-EC19-1A5A-E9686470D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C04C-DE0E-46CA-AEA9-8BF9E360DE98}">
  <dimension ref="A3:AZ63"/>
  <sheetViews>
    <sheetView tabSelected="1" topLeftCell="AD1" zoomScale="85" zoomScaleNormal="85" workbookViewId="0">
      <selection activeCell="AW31" sqref="AW31"/>
    </sheetView>
  </sheetViews>
  <sheetFormatPr defaultRowHeight="15" x14ac:dyDescent="0.25"/>
  <cols>
    <col min="10" max="10" width="8.28515625" customWidth="1"/>
    <col min="11" max="11" width="9.140625" customWidth="1"/>
    <col min="12" max="12" width="10" customWidth="1"/>
    <col min="13" max="13" width="8.42578125" customWidth="1"/>
    <col min="14" max="14" width="15.140625" customWidth="1"/>
    <col min="15" max="15" width="8" customWidth="1"/>
    <col min="26" max="26" width="9.85546875" customWidth="1"/>
    <col min="27" max="27" width="10.5703125" customWidth="1"/>
    <col min="30" max="30" width="9.140625" customWidth="1"/>
    <col min="37" max="37" width="7.28515625" customWidth="1"/>
    <col min="38" max="38" width="8.42578125" customWidth="1"/>
  </cols>
  <sheetData>
    <row r="3" spans="1:52" x14ac:dyDescent="0.25">
      <c r="A3" s="8"/>
      <c r="B3" s="5" t="s">
        <v>0</v>
      </c>
      <c r="C3" s="5"/>
      <c r="D3" s="7"/>
      <c r="E3" s="4" t="s">
        <v>11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10</v>
      </c>
      <c r="L3" s="4" t="s">
        <v>12</v>
      </c>
      <c r="M3" s="4" t="s">
        <v>13</v>
      </c>
      <c r="O3" s="5"/>
      <c r="P3" s="13" t="s">
        <v>14</v>
      </c>
      <c r="Q3" s="13"/>
      <c r="R3" s="13"/>
      <c r="S3" s="4" t="s">
        <v>11</v>
      </c>
      <c r="T3" s="4" t="s">
        <v>3</v>
      </c>
      <c r="U3" s="4" t="s">
        <v>4</v>
      </c>
      <c r="V3" s="4" t="s">
        <v>6</v>
      </c>
      <c r="W3" s="4" t="s">
        <v>15</v>
      </c>
      <c r="X3" s="4" t="s">
        <v>5</v>
      </c>
      <c r="Y3" s="4" t="s">
        <v>7</v>
      </c>
      <c r="Z3" s="4" t="s">
        <v>16</v>
      </c>
      <c r="AA3" s="4" t="s">
        <v>12</v>
      </c>
      <c r="AB3" s="4" t="s">
        <v>13</v>
      </c>
      <c r="AD3" s="4" t="s">
        <v>21</v>
      </c>
      <c r="AE3" s="4"/>
      <c r="AF3" s="4"/>
      <c r="AH3" s="3" t="s">
        <v>11</v>
      </c>
      <c r="AI3" s="3" t="s">
        <v>5</v>
      </c>
      <c r="AJ3" s="3" t="s">
        <v>7</v>
      </c>
      <c r="AK3" s="3" t="s">
        <v>20</v>
      </c>
      <c r="AL3" s="4" t="s">
        <v>12</v>
      </c>
      <c r="AM3" s="4" t="s">
        <v>13</v>
      </c>
      <c r="AP3" s="13" t="s">
        <v>22</v>
      </c>
      <c r="AQ3" s="13"/>
      <c r="AR3" s="13"/>
      <c r="AT3" s="3" t="s">
        <v>11</v>
      </c>
      <c r="AU3" s="3" t="s">
        <v>5</v>
      </c>
      <c r="AV3" s="3" t="s">
        <v>7</v>
      </c>
      <c r="AW3" s="4" t="s">
        <v>12</v>
      </c>
      <c r="AX3" s="4" t="s">
        <v>13</v>
      </c>
      <c r="AY3" s="6"/>
    </row>
    <row r="4" spans="1:52" x14ac:dyDescent="0.25">
      <c r="B4" s="11" t="s">
        <v>1</v>
      </c>
      <c r="C4" s="11"/>
      <c r="E4" s="1">
        <v>0</v>
      </c>
      <c r="F4" s="1">
        <v>1</v>
      </c>
      <c r="G4" s="1">
        <v>2</v>
      </c>
      <c r="H4" s="2">
        <f>(F4+G4)/2</f>
        <v>1.5</v>
      </c>
      <c r="I4" s="1">
        <f>(F4)^2-3</f>
        <v>-2</v>
      </c>
      <c r="J4" s="1">
        <f>(H4)^2-3</f>
        <v>-0.75</v>
      </c>
      <c r="K4" s="1">
        <f>I4*J4</f>
        <v>1.5</v>
      </c>
      <c r="M4">
        <f>ABS(($C$6-H4)/$C$6)</f>
        <v>0.13394919168591224</v>
      </c>
      <c r="P4" s="11" t="s">
        <v>1</v>
      </c>
      <c r="Q4" s="11"/>
      <c r="S4" s="1">
        <v>0</v>
      </c>
      <c r="T4" s="1">
        <v>1</v>
      </c>
      <c r="U4" s="1">
        <v>2</v>
      </c>
      <c r="V4">
        <f>T4^2-3</f>
        <v>-2</v>
      </c>
      <c r="W4">
        <f>U4^2-3</f>
        <v>1</v>
      </c>
      <c r="X4">
        <f>T4-((U4-T4)/(W4-V4))*V4</f>
        <v>1.6666666666666665</v>
      </c>
      <c r="Y4">
        <f>X4^2-3</f>
        <v>-0.22222222222222276</v>
      </c>
      <c r="Z4">
        <f>V4*Y4</f>
        <v>0.44444444444444553</v>
      </c>
      <c r="AB4">
        <f>ABS(($Q$6-X4)/$Q$6)</f>
        <v>3.7721324095458121E-2</v>
      </c>
      <c r="AD4" t="s">
        <v>17</v>
      </c>
      <c r="AH4" s="1">
        <v>0</v>
      </c>
      <c r="AI4">
        <f>AE6</f>
        <v>1.5</v>
      </c>
      <c r="AJ4">
        <f>AI4^2-3</f>
        <v>-0.75</v>
      </c>
      <c r="AK4">
        <f>2*AI4</f>
        <v>3</v>
      </c>
      <c r="AM4">
        <f>ABS(($AE$7-AI4)/$AE$7)</f>
        <v>0.13394919168591224</v>
      </c>
      <c r="AP4" t="s">
        <v>17</v>
      </c>
      <c r="AS4" t="s">
        <v>23</v>
      </c>
      <c r="AT4" s="1">
        <v>0</v>
      </c>
      <c r="AU4">
        <v>1</v>
      </c>
      <c r="AV4">
        <f>AU4^2-3</f>
        <v>-2</v>
      </c>
      <c r="AX4">
        <f>ABS(($AE$7-AU4)/$AE$7)</f>
        <v>0.42263279445727481</v>
      </c>
      <c r="AY4" s="14"/>
      <c r="AZ4" s="14">
        <f>AX4</f>
        <v>0.42263279445727481</v>
      </c>
    </row>
    <row r="5" spans="1:52" x14ac:dyDescent="0.25">
      <c r="B5" s="11" t="s">
        <v>2</v>
      </c>
      <c r="C5" s="11" t="s">
        <v>9</v>
      </c>
      <c r="E5" s="1">
        <v>1</v>
      </c>
      <c r="F5">
        <f>IF(K4&lt;0,F4,H4)</f>
        <v>1.5</v>
      </c>
      <c r="G5">
        <f>IF(K4&gt;0,G4,H4)</f>
        <v>2</v>
      </c>
      <c r="H5" s="2">
        <f>(F5+G5)/2</f>
        <v>1.75</v>
      </c>
      <c r="I5" s="1">
        <f>(F5)^2-3</f>
        <v>-0.75</v>
      </c>
      <c r="J5" s="1">
        <f>(H5)^2-3</f>
        <v>6.25E-2</v>
      </c>
      <c r="K5" s="1">
        <f>I5*J5</f>
        <v>-4.6875E-2</v>
      </c>
      <c r="L5">
        <f>ABS((H5-H4)/H5)</f>
        <v>0.14285714285714285</v>
      </c>
      <c r="M5">
        <f t="shared" ref="M5:M22" si="0">ABS(($C$6-H5)/$C$6)</f>
        <v>1.0392609699769063E-2</v>
      </c>
      <c r="P5" s="11" t="s">
        <v>2</v>
      </c>
      <c r="Q5" s="11" t="s">
        <v>9</v>
      </c>
      <c r="S5" s="1">
        <v>1</v>
      </c>
      <c r="T5">
        <f>IF(Z4&lt;0,T4,X4)</f>
        <v>1.6666666666666665</v>
      </c>
      <c r="U5">
        <f>IF(Z4&gt;0,U4,Y4)</f>
        <v>2</v>
      </c>
      <c r="V5">
        <f>T5^2-3</f>
        <v>-0.22222222222222276</v>
      </c>
      <c r="W5">
        <f>U5^2-3</f>
        <v>1</v>
      </c>
      <c r="X5">
        <f>T5-((U5-T5)/(W5-V5))*V5</f>
        <v>1.7272727272727273</v>
      </c>
      <c r="Y5">
        <f>X5^2-3</f>
        <v>-1.6528925619834656E-2</v>
      </c>
      <c r="Z5">
        <f>V5*Y5</f>
        <v>3.6730945821854882E-3</v>
      </c>
      <c r="AA5">
        <f>ABS(($X$5-X4)/$X$5)</f>
        <v>3.5087719298245709E-2</v>
      </c>
      <c r="AB5">
        <f>ABS(($Q$6-X5)/$Q$6)</f>
        <v>2.7293722443837709E-3</v>
      </c>
      <c r="AD5" t="s">
        <v>18</v>
      </c>
      <c r="AH5" s="1">
        <v>1</v>
      </c>
      <c r="AI5">
        <f>AI4-(AJ4/AK4)</f>
        <v>1.75</v>
      </c>
      <c r="AJ5">
        <f>AI5^2-3</f>
        <v>6.25E-2</v>
      </c>
      <c r="AK5">
        <f>2*AI5</f>
        <v>3.5</v>
      </c>
      <c r="AL5">
        <f>ABS((AI5-AI4)/AI5)</f>
        <v>0.14285714285714285</v>
      </c>
      <c r="AM5">
        <f t="shared" ref="AM5:AM8" si="1">ABS(($AE$7-AI5)/$AE$7)</f>
        <v>1.0392609699769063E-2</v>
      </c>
      <c r="AS5" t="s">
        <v>25</v>
      </c>
      <c r="AT5" s="1">
        <v>1</v>
      </c>
      <c r="AU5">
        <v>2</v>
      </c>
      <c r="AV5">
        <f>AU5^2-3</f>
        <v>1</v>
      </c>
      <c r="AW5">
        <f>ABS((AU5-AU4)/AU5)</f>
        <v>0.5</v>
      </c>
      <c r="AX5">
        <f t="shared" ref="AX5:AX10" si="2">ABS(($AE$7-AU5)/$AE$7)</f>
        <v>0.15473441108545036</v>
      </c>
      <c r="AY5" s="14">
        <f>AW5</f>
        <v>0.5</v>
      </c>
      <c r="AZ5" s="14">
        <f t="shared" ref="AZ5:AZ10" si="3">AX5</f>
        <v>0.15473441108545036</v>
      </c>
    </row>
    <row r="6" spans="1:52" x14ac:dyDescent="0.25">
      <c r="B6" s="11" t="s">
        <v>8</v>
      </c>
      <c r="C6" s="12">
        <v>1.732</v>
      </c>
      <c r="E6" s="1">
        <v>2</v>
      </c>
      <c r="F6">
        <f t="shared" ref="F6:F21" si="4">IF(K5&lt;0,F5,H5)</f>
        <v>1.5</v>
      </c>
      <c r="G6">
        <f t="shared" ref="G6:G21" si="5">IF(K5&gt;0,G5,H5)</f>
        <v>1.75</v>
      </c>
      <c r="H6" s="2">
        <f t="shared" ref="H6:H21" si="6">(F6+G6)/2</f>
        <v>1.625</v>
      </c>
      <c r="I6" s="1">
        <f t="shared" ref="I6:I21" si="7">(F6)^2-3</f>
        <v>-0.75</v>
      </c>
      <c r="J6" s="1">
        <f t="shared" ref="J6:J21" si="8">(H6)^2-3</f>
        <v>-0.359375</v>
      </c>
      <c r="K6" s="1">
        <f t="shared" ref="K6:K21" si="9">I6*J6</f>
        <v>0.26953125</v>
      </c>
      <c r="L6">
        <f t="shared" ref="L6:L22" si="10">ABS((H6-H5)/H6)</f>
        <v>7.6923076923076927E-2</v>
      </c>
      <c r="M6">
        <f t="shared" si="0"/>
        <v>6.1778290993071583E-2</v>
      </c>
      <c r="P6" s="11" t="s">
        <v>8</v>
      </c>
      <c r="Q6" s="12">
        <v>1.732</v>
      </c>
      <c r="S6" s="1">
        <v>2</v>
      </c>
      <c r="T6">
        <f t="shared" ref="T6:T10" si="11">IF(Z5&lt;0,T5,X5)</f>
        <v>1.7272727272727273</v>
      </c>
      <c r="U6">
        <f t="shared" ref="U6:U10" si="12">IF(Z5&gt;0,U5,Y5)</f>
        <v>2</v>
      </c>
      <c r="V6">
        <f t="shared" ref="V6:V10" si="13">T6^2-3</f>
        <v>-1.6528925619834656E-2</v>
      </c>
      <c r="W6">
        <f t="shared" ref="W6:W10" si="14">U6^2-3</f>
        <v>1</v>
      </c>
      <c r="X6">
        <f t="shared" ref="X6:X10" si="15">T6-((U6-T6)/(W6-V6))*V6</f>
        <v>1.7317073170731707</v>
      </c>
      <c r="Y6">
        <f t="shared" ref="Y6:Y10" si="16">X6^2-3</f>
        <v>-1.1897679952408424E-3</v>
      </c>
      <c r="Z6">
        <f t="shared" ref="Z6:Z10" si="17">V6*Y6</f>
        <v>1.9665586698195677E-5</v>
      </c>
      <c r="AA6">
        <f t="shared" ref="AA6:AA10" si="18">ABS(($X$5-X5)/$X$5)</f>
        <v>0</v>
      </c>
      <c r="AB6">
        <f t="shared" ref="AB6:AB10" si="19">ABS(($Q$6-X6)/$Q$6)</f>
        <v>1.6898552357348068E-4</v>
      </c>
      <c r="AD6" t="s">
        <v>19</v>
      </c>
      <c r="AE6">
        <v>1.5</v>
      </c>
      <c r="AH6" s="1">
        <v>2</v>
      </c>
      <c r="AI6">
        <f t="shared" ref="AI6:AI8" si="20">AI5-(AJ5/AK5)</f>
        <v>1.7321428571428572</v>
      </c>
      <c r="AJ6">
        <f t="shared" ref="AJ6:AJ8" si="21">AI6^2-3</f>
        <v>3.1887755102077975E-4</v>
      </c>
      <c r="AK6">
        <f t="shared" ref="AK6:AK8" si="22">2*AI6</f>
        <v>3.4642857142857144</v>
      </c>
      <c r="AL6">
        <f t="shared" ref="AL6:AL8" si="23">ABS((AI6-AI5)/AI6)</f>
        <v>1.0309278350515427E-2</v>
      </c>
      <c r="AM6">
        <f t="shared" si="1"/>
        <v>8.2481029363292314E-5</v>
      </c>
      <c r="AS6" t="s">
        <v>24</v>
      </c>
      <c r="AT6" s="6">
        <v>2</v>
      </c>
      <c r="AU6" s="7">
        <f>AU5-(((AV5*(AU5-AU4))/(AV5-AV4)))</f>
        <v>1.6666666666666667</v>
      </c>
      <c r="AV6" s="7">
        <f>AU6^2-3</f>
        <v>-0.22222222222222188</v>
      </c>
      <c r="AW6">
        <f t="shared" ref="AW6:AW9" si="24">ABS((AU6-AU5)/AU6)</f>
        <v>0.19999999999999996</v>
      </c>
      <c r="AX6">
        <f t="shared" si="2"/>
        <v>3.7721324095457996E-2</v>
      </c>
      <c r="AY6" s="14">
        <f t="shared" ref="AY6:AY10" si="25">AW6</f>
        <v>0.19999999999999996</v>
      </c>
      <c r="AZ6" s="14">
        <f t="shared" si="3"/>
        <v>3.7721324095457996E-2</v>
      </c>
    </row>
    <row r="7" spans="1:52" x14ac:dyDescent="0.25">
      <c r="E7" s="1">
        <v>3</v>
      </c>
      <c r="F7">
        <f t="shared" si="4"/>
        <v>1.625</v>
      </c>
      <c r="G7">
        <f t="shared" si="5"/>
        <v>1.75</v>
      </c>
      <c r="H7" s="2">
        <f t="shared" si="6"/>
        <v>1.6875</v>
      </c>
      <c r="I7" s="1">
        <f t="shared" si="7"/>
        <v>-0.359375</v>
      </c>
      <c r="J7" s="1">
        <f t="shared" si="8"/>
        <v>-0.15234375</v>
      </c>
      <c r="K7" s="1">
        <f t="shared" si="9"/>
        <v>5.474853515625E-2</v>
      </c>
      <c r="L7">
        <f t="shared" si="10"/>
        <v>3.7037037037037035E-2</v>
      </c>
      <c r="M7">
        <f t="shared" si="0"/>
        <v>2.5692840646651262E-2</v>
      </c>
      <c r="S7" s="1">
        <v>3</v>
      </c>
      <c r="T7">
        <f t="shared" si="11"/>
        <v>1.7317073170731707</v>
      </c>
      <c r="U7">
        <f t="shared" si="12"/>
        <v>2</v>
      </c>
      <c r="V7">
        <f t="shared" si="13"/>
        <v>-1.1897679952408424E-3</v>
      </c>
      <c r="W7">
        <f t="shared" si="14"/>
        <v>1</v>
      </c>
      <c r="X7">
        <f t="shared" si="15"/>
        <v>1.7320261437908497</v>
      </c>
      <c r="Y7">
        <f t="shared" si="16"/>
        <v>-8.5437224998763384E-5</v>
      </c>
      <c r="Z7">
        <f t="shared" si="17"/>
        <v>1.016504759057195E-7</v>
      </c>
      <c r="AA7">
        <f t="shared" si="18"/>
        <v>2.5673940949935605E-3</v>
      </c>
      <c r="AB7">
        <f t="shared" si="19"/>
        <v>1.5094567465215385E-5</v>
      </c>
      <c r="AD7" t="s">
        <v>8</v>
      </c>
      <c r="AE7">
        <v>1.732</v>
      </c>
      <c r="AH7" s="1">
        <v>3</v>
      </c>
      <c r="AI7">
        <f t="shared" si="20"/>
        <v>1.7320508100147276</v>
      </c>
      <c r="AJ7">
        <f t="shared" si="21"/>
        <v>8.4726741178542397E-9</v>
      </c>
      <c r="AK7">
        <f t="shared" si="22"/>
        <v>3.4641016200294552</v>
      </c>
      <c r="AL7">
        <f t="shared" si="23"/>
        <v>5.3143434128713205E-5</v>
      </c>
      <c r="AM7">
        <f t="shared" si="1"/>
        <v>2.9336036216870819E-5</v>
      </c>
      <c r="AT7" s="6">
        <v>3</v>
      </c>
      <c r="AU7" s="7">
        <f t="shared" ref="AU7:AU10" si="26">AU6-(((AV6*(AU6-AU5))/(AV6-AV5)))</f>
        <v>1.7272727272727273</v>
      </c>
      <c r="AV7" s="7">
        <f t="shared" ref="AV7:AV10" si="27">AU7^2-3</f>
        <v>-1.6528925619834656E-2</v>
      </c>
      <c r="AW7">
        <f t="shared" si="24"/>
        <v>3.5087719298245584E-2</v>
      </c>
      <c r="AX7">
        <f t="shared" si="2"/>
        <v>2.7293722443837709E-3</v>
      </c>
      <c r="AY7" s="14">
        <f t="shared" si="25"/>
        <v>3.5087719298245584E-2</v>
      </c>
      <c r="AZ7" s="14">
        <f t="shared" si="3"/>
        <v>2.7293722443837709E-3</v>
      </c>
    </row>
    <row r="8" spans="1:52" x14ac:dyDescent="0.25">
      <c r="E8" s="1">
        <v>4</v>
      </c>
      <c r="F8">
        <f t="shared" si="4"/>
        <v>1.6875</v>
      </c>
      <c r="G8">
        <f t="shared" si="5"/>
        <v>1.75</v>
      </c>
      <c r="H8" s="2">
        <f t="shared" si="6"/>
        <v>1.71875</v>
      </c>
      <c r="I8" s="1">
        <f t="shared" si="7"/>
        <v>-0.15234375</v>
      </c>
      <c r="J8" s="1">
        <f t="shared" si="8"/>
        <v>-4.58984375E-2</v>
      </c>
      <c r="K8" s="1">
        <f t="shared" si="9"/>
        <v>6.992340087890625E-3</v>
      </c>
      <c r="L8">
        <f t="shared" si="10"/>
        <v>1.8181818181818181E-2</v>
      </c>
      <c r="M8">
        <f t="shared" si="0"/>
        <v>7.6501154734410996E-3</v>
      </c>
      <c r="S8" s="1">
        <v>4</v>
      </c>
      <c r="T8">
        <f t="shared" si="11"/>
        <v>1.7320261437908497</v>
      </c>
      <c r="U8">
        <f t="shared" si="12"/>
        <v>2</v>
      </c>
      <c r="V8">
        <f t="shared" si="13"/>
        <v>-8.5437224998763384E-5</v>
      </c>
      <c r="W8">
        <f t="shared" si="14"/>
        <v>1</v>
      </c>
      <c r="X8">
        <f t="shared" si="15"/>
        <v>1.7320490367775832</v>
      </c>
      <c r="Y8">
        <f t="shared" si="16"/>
        <v>-6.1341978465634384E-6</v>
      </c>
      <c r="Z8">
        <f t="shared" si="17"/>
        <v>5.2408884160377034E-10</v>
      </c>
      <c r="AA8">
        <f t="shared" si="18"/>
        <v>2.7519779841761517E-3</v>
      </c>
      <c r="AB8">
        <f t="shared" si="19"/>
        <v>2.8312227242013177E-5</v>
      </c>
      <c r="AH8" s="9">
        <v>4</v>
      </c>
      <c r="AI8" s="10">
        <f t="shared" si="20"/>
        <v>1.7320508075688772</v>
      </c>
      <c r="AJ8" s="10">
        <f t="shared" si="21"/>
        <v>0</v>
      </c>
      <c r="AK8" s="10">
        <f t="shared" si="22"/>
        <v>3.4641016151377544</v>
      </c>
      <c r="AL8" s="10">
        <f t="shared" si="23"/>
        <v>1.4121123932417916E-9</v>
      </c>
      <c r="AM8" s="10">
        <f t="shared" si="1"/>
        <v>2.9334624063053791E-5</v>
      </c>
      <c r="AT8" s="6">
        <v>4</v>
      </c>
      <c r="AU8" s="7">
        <f t="shared" si="26"/>
        <v>1.7321428571428572</v>
      </c>
      <c r="AV8" s="7">
        <f t="shared" si="27"/>
        <v>3.1887755102077975E-4</v>
      </c>
      <c r="AW8">
        <f t="shared" si="24"/>
        <v>2.811621368322424E-3</v>
      </c>
      <c r="AX8">
        <f t="shared" si="2"/>
        <v>8.2481029363292314E-5</v>
      </c>
      <c r="AY8" s="14">
        <f t="shared" si="25"/>
        <v>2.811621368322424E-3</v>
      </c>
      <c r="AZ8" s="14">
        <f t="shared" si="3"/>
        <v>8.2481029363292314E-5</v>
      </c>
    </row>
    <row r="9" spans="1:52" x14ac:dyDescent="0.25">
      <c r="E9" s="1">
        <v>5</v>
      </c>
      <c r="F9">
        <f t="shared" si="4"/>
        <v>1.71875</v>
      </c>
      <c r="G9">
        <f t="shared" si="5"/>
        <v>1.75</v>
      </c>
      <c r="H9" s="2">
        <f t="shared" si="6"/>
        <v>1.734375</v>
      </c>
      <c r="I9" s="1">
        <f t="shared" si="7"/>
        <v>-4.58984375E-2</v>
      </c>
      <c r="J9" s="1">
        <f t="shared" si="8"/>
        <v>8.056640625E-3</v>
      </c>
      <c r="K9" s="1">
        <f t="shared" si="9"/>
        <v>-3.6978721618652344E-4</v>
      </c>
      <c r="L9">
        <f t="shared" si="10"/>
        <v>9.0090090090090089E-3</v>
      </c>
      <c r="M9">
        <f t="shared" si="0"/>
        <v>1.3712471131639816E-3</v>
      </c>
      <c r="S9" s="9">
        <v>5</v>
      </c>
      <c r="T9" s="10">
        <f t="shared" si="11"/>
        <v>1.7320490367775832</v>
      </c>
      <c r="U9" s="10">
        <f t="shared" si="12"/>
        <v>2</v>
      </c>
      <c r="V9" s="10">
        <f t="shared" si="13"/>
        <v>-6.1341978465634384E-6</v>
      </c>
      <c r="W9" s="10">
        <f t="shared" si="14"/>
        <v>1</v>
      </c>
      <c r="X9" s="10">
        <f t="shared" si="15"/>
        <v>1.7320506804317222</v>
      </c>
      <c r="Y9" s="10">
        <f t="shared" si="16"/>
        <v>-4.4041600810729165E-7</v>
      </c>
      <c r="Z9" s="10">
        <f t="shared" si="17"/>
        <v>2.7015989285238144E-12</v>
      </c>
      <c r="AA9" s="10">
        <f t="shared" si="18"/>
        <v>2.76523181860076E-3</v>
      </c>
      <c r="AB9" s="10">
        <f t="shared" si="19"/>
        <v>2.9261219239135781E-5</v>
      </c>
      <c r="AT9" s="9">
        <v>5</v>
      </c>
      <c r="AU9" s="10">
        <f t="shared" si="26"/>
        <v>1.7320506804317222</v>
      </c>
      <c r="AV9" s="10">
        <f t="shared" si="27"/>
        <v>-4.4041600810729165E-7</v>
      </c>
      <c r="AW9" s="10">
        <f t="shared" si="24"/>
        <v>5.32182528931911E-5</v>
      </c>
      <c r="AX9" s="10">
        <f t="shared" si="2"/>
        <v>2.9261219239135781E-5</v>
      </c>
      <c r="AY9" s="14">
        <f t="shared" si="25"/>
        <v>5.32182528931911E-5</v>
      </c>
      <c r="AZ9" s="14">
        <f t="shared" si="3"/>
        <v>2.9261219239135781E-5</v>
      </c>
    </row>
    <row r="10" spans="1:52" x14ac:dyDescent="0.25">
      <c r="E10" s="1">
        <v>6</v>
      </c>
      <c r="F10">
        <f t="shared" si="4"/>
        <v>1.71875</v>
      </c>
      <c r="G10">
        <f t="shared" si="5"/>
        <v>1.734375</v>
      </c>
      <c r="H10" s="2">
        <f t="shared" si="6"/>
        <v>1.7265625</v>
      </c>
      <c r="I10" s="1">
        <f t="shared" si="7"/>
        <v>-4.58984375E-2</v>
      </c>
      <c r="J10" s="1">
        <f t="shared" si="8"/>
        <v>-1.898193359375E-2</v>
      </c>
      <c r="K10" s="1">
        <f t="shared" si="9"/>
        <v>8.7124109268188477E-4</v>
      </c>
      <c r="L10">
        <f t="shared" si="10"/>
        <v>4.5248868778280547E-3</v>
      </c>
      <c r="M10">
        <f t="shared" si="0"/>
        <v>3.139434180138559E-3</v>
      </c>
      <c r="S10" s="9">
        <v>6</v>
      </c>
      <c r="T10" s="10">
        <f t="shared" si="11"/>
        <v>1.7320506804317222</v>
      </c>
      <c r="U10" s="10">
        <f t="shared" si="12"/>
        <v>2</v>
      </c>
      <c r="V10" s="10">
        <f t="shared" si="13"/>
        <v>-4.4041600810729165E-7</v>
      </c>
      <c r="W10" s="10">
        <f t="shared" si="14"/>
        <v>1</v>
      </c>
      <c r="X10" s="10">
        <f t="shared" si="15"/>
        <v>1.73205079844084</v>
      </c>
      <c r="Y10" s="10">
        <f t="shared" si="16"/>
        <v>-3.162044892590643E-8</v>
      </c>
      <c r="Z10" s="10">
        <f t="shared" si="17"/>
        <v>1.3926151890508208E-14</v>
      </c>
      <c r="AA10" s="10">
        <f t="shared" si="18"/>
        <v>2.7661834078391376E-3</v>
      </c>
      <c r="AB10" s="10">
        <f t="shared" si="19"/>
        <v>2.9329353833714888E-5</v>
      </c>
      <c r="AT10" s="9">
        <v>6</v>
      </c>
      <c r="AU10" s="10">
        <f t="shared" si="26"/>
        <v>1.732050807565499</v>
      </c>
      <c r="AV10" s="10">
        <f t="shared" si="27"/>
        <v>-1.170263885796885E-11</v>
      </c>
      <c r="AW10" s="10">
        <f>ABS((AU10-AU9)/AU10)</f>
        <v>7.3400720281448455E-8</v>
      </c>
      <c r="AX10" s="10">
        <f t="shared" si="2"/>
        <v>2.9334622112599622E-5</v>
      </c>
      <c r="AY10" s="14">
        <f t="shared" si="25"/>
        <v>7.3400720281448455E-8</v>
      </c>
      <c r="AZ10" s="14">
        <f t="shared" si="3"/>
        <v>2.9334622112599622E-5</v>
      </c>
    </row>
    <row r="11" spans="1:52" x14ac:dyDescent="0.25">
      <c r="E11" s="1">
        <v>7</v>
      </c>
      <c r="F11">
        <f t="shared" si="4"/>
        <v>1.7265625</v>
      </c>
      <c r="G11">
        <f t="shared" si="5"/>
        <v>1.734375</v>
      </c>
      <c r="H11" s="2">
        <f t="shared" si="6"/>
        <v>1.73046875</v>
      </c>
      <c r="I11" s="1">
        <f t="shared" si="7"/>
        <v>-1.898193359375E-2</v>
      </c>
      <c r="J11" s="1">
        <f t="shared" si="8"/>
        <v>-5.4779052734375E-3</v>
      </c>
      <c r="K11" s="1">
        <f t="shared" si="9"/>
        <v>1.0398123413324356E-4</v>
      </c>
      <c r="L11">
        <f t="shared" si="10"/>
        <v>2.257336343115124E-3</v>
      </c>
      <c r="M11">
        <f t="shared" si="0"/>
        <v>8.8409353348728871E-4</v>
      </c>
    </row>
    <row r="12" spans="1:52" x14ac:dyDescent="0.25">
      <c r="E12" s="1">
        <v>8</v>
      </c>
      <c r="F12">
        <f t="shared" si="4"/>
        <v>1.73046875</v>
      </c>
      <c r="G12">
        <f t="shared" si="5"/>
        <v>1.734375</v>
      </c>
      <c r="H12" s="2">
        <f t="shared" si="6"/>
        <v>1.732421875</v>
      </c>
      <c r="I12" s="1">
        <f t="shared" si="7"/>
        <v>-5.4779052734375E-3</v>
      </c>
      <c r="J12" s="1">
        <f t="shared" si="8"/>
        <v>1.285552978515625E-3</v>
      </c>
      <c r="K12" s="1">
        <f t="shared" si="9"/>
        <v>-7.0421374402940273E-6</v>
      </c>
      <c r="L12">
        <f t="shared" si="10"/>
        <v>1.1273957158962795E-3</v>
      </c>
      <c r="M12">
        <f t="shared" si="0"/>
        <v>2.4357678983834641E-4</v>
      </c>
    </row>
    <row r="13" spans="1:52" x14ac:dyDescent="0.25">
      <c r="E13" s="1">
        <v>9</v>
      </c>
      <c r="F13">
        <f t="shared" si="4"/>
        <v>1.73046875</v>
      </c>
      <c r="G13">
        <f t="shared" si="5"/>
        <v>1.732421875</v>
      </c>
      <c r="H13" s="2">
        <f t="shared" si="6"/>
        <v>1.7314453125</v>
      </c>
      <c r="I13" s="1">
        <f t="shared" si="7"/>
        <v>-5.4779052734375E-3</v>
      </c>
      <c r="J13" s="1">
        <f t="shared" si="8"/>
        <v>-2.0971298217773438E-3</v>
      </c>
      <c r="K13" s="1">
        <f t="shared" si="9"/>
        <v>1.1487878509797156E-5</v>
      </c>
      <c r="L13">
        <f t="shared" si="10"/>
        <v>5.6401579244218843E-4</v>
      </c>
      <c r="M13">
        <f t="shared" si="0"/>
        <v>3.2025837182447114E-4</v>
      </c>
    </row>
    <row r="14" spans="1:52" x14ac:dyDescent="0.25">
      <c r="E14" s="1">
        <v>10</v>
      </c>
      <c r="F14">
        <f t="shared" si="4"/>
        <v>1.7314453125</v>
      </c>
      <c r="G14">
        <f t="shared" si="5"/>
        <v>1.732421875</v>
      </c>
      <c r="H14" s="2">
        <f t="shared" si="6"/>
        <v>1.73193359375</v>
      </c>
      <c r="I14" s="1">
        <f t="shared" si="7"/>
        <v>-2.0971298217773438E-3</v>
      </c>
      <c r="J14" s="1">
        <f t="shared" si="8"/>
        <v>-4.0602684020996094E-4</v>
      </c>
      <c r="K14" s="1">
        <f t="shared" si="9"/>
        <v>8.5149099504633341E-7</v>
      </c>
      <c r="L14">
        <f t="shared" si="10"/>
        <v>2.8192839018889202E-4</v>
      </c>
      <c r="M14">
        <f t="shared" si="0"/>
        <v>3.8340790993062366E-5</v>
      </c>
    </row>
    <row r="15" spans="1:52" x14ac:dyDescent="0.25">
      <c r="E15" s="1">
        <v>11</v>
      </c>
      <c r="F15">
        <f t="shared" si="4"/>
        <v>1.73193359375</v>
      </c>
      <c r="G15">
        <f t="shared" si="5"/>
        <v>1.732421875</v>
      </c>
      <c r="H15" s="2">
        <f t="shared" si="6"/>
        <v>1.732177734375</v>
      </c>
      <c r="I15" s="1">
        <f t="shared" si="7"/>
        <v>-4.0602684020996094E-4</v>
      </c>
      <c r="J15" s="1">
        <f t="shared" si="8"/>
        <v>4.3970346450805664E-4</v>
      </c>
      <c r="K15" s="1">
        <f t="shared" si="9"/>
        <v>-1.7853140832357894E-7</v>
      </c>
      <c r="L15">
        <f t="shared" si="10"/>
        <v>1.4094432699083862E-4</v>
      </c>
      <c r="M15">
        <f t="shared" si="0"/>
        <v>1.0261799942264203E-4</v>
      </c>
    </row>
    <row r="16" spans="1:52" x14ac:dyDescent="0.25">
      <c r="E16" s="1">
        <v>12</v>
      </c>
      <c r="F16">
        <f t="shared" si="4"/>
        <v>1.73193359375</v>
      </c>
      <c r="G16">
        <f t="shared" si="5"/>
        <v>1.732177734375</v>
      </c>
      <c r="H16" s="2">
        <f t="shared" si="6"/>
        <v>1.7320556640625</v>
      </c>
      <c r="I16" s="1">
        <f t="shared" si="7"/>
        <v>-4.0602684020996094E-4</v>
      </c>
      <c r="J16" s="1">
        <f t="shared" si="8"/>
        <v>1.6823410987854004E-5</v>
      </c>
      <c r="K16" s="1">
        <f t="shared" si="9"/>
        <v>-6.8307564049518987E-9</v>
      </c>
      <c r="L16">
        <f t="shared" si="10"/>
        <v>7.0477130171259429E-5</v>
      </c>
      <c r="M16">
        <f t="shared" si="0"/>
        <v>3.2138604214789831E-5</v>
      </c>
    </row>
    <row r="17" spans="5:13" x14ac:dyDescent="0.25">
      <c r="E17" s="1">
        <v>13</v>
      </c>
      <c r="F17">
        <f t="shared" si="4"/>
        <v>1.73193359375</v>
      </c>
      <c r="G17">
        <f t="shared" si="5"/>
        <v>1.7320556640625</v>
      </c>
      <c r="H17" s="2">
        <f t="shared" si="6"/>
        <v>1.73199462890625</v>
      </c>
      <c r="I17" s="1">
        <f t="shared" si="7"/>
        <v>-4.0602684020996094E-4</v>
      </c>
      <c r="J17" s="1">
        <f t="shared" si="8"/>
        <v>-1.9460543990135193E-4</v>
      </c>
      <c r="K17" s="1">
        <f t="shared" si="9"/>
        <v>7.9015031850815376E-8</v>
      </c>
      <c r="L17">
        <f t="shared" si="10"/>
        <v>3.5239806885858265E-5</v>
      </c>
      <c r="M17">
        <f t="shared" si="0"/>
        <v>3.1010933891362659E-6</v>
      </c>
    </row>
    <row r="18" spans="5:13" x14ac:dyDescent="0.25">
      <c r="E18" s="1">
        <v>14</v>
      </c>
      <c r="F18">
        <f t="shared" si="4"/>
        <v>1.73199462890625</v>
      </c>
      <c r="G18">
        <f t="shared" si="5"/>
        <v>1.7320556640625</v>
      </c>
      <c r="H18" s="2">
        <f t="shared" si="6"/>
        <v>1.732025146484375</v>
      </c>
      <c r="I18" s="1">
        <f t="shared" si="7"/>
        <v>-1.9460543990135193E-4</v>
      </c>
      <c r="J18" s="1">
        <f t="shared" si="8"/>
        <v>-8.8891945779323578E-5</v>
      </c>
      <c r="K18" s="1">
        <f t="shared" si="9"/>
        <v>1.7298856212072389E-8</v>
      </c>
      <c r="L18">
        <f t="shared" si="10"/>
        <v>1.7619592987401992E-5</v>
      </c>
      <c r="M18">
        <f t="shared" si="0"/>
        <v>1.4518755412826783E-5</v>
      </c>
    </row>
    <row r="19" spans="5:13" x14ac:dyDescent="0.25">
      <c r="E19" s="1">
        <v>15</v>
      </c>
      <c r="F19">
        <f t="shared" si="4"/>
        <v>1.732025146484375</v>
      </c>
      <c r="G19">
        <f t="shared" si="5"/>
        <v>1.7320556640625</v>
      </c>
      <c r="H19" s="2">
        <f t="shared" si="6"/>
        <v>1.7320404052734375</v>
      </c>
      <c r="I19" s="1">
        <f t="shared" si="7"/>
        <v>-8.8891945779323578E-5</v>
      </c>
      <c r="J19" s="1">
        <f t="shared" si="8"/>
        <v>-3.6034500226378441E-5</v>
      </c>
      <c r="K19" s="1">
        <f t="shared" si="9"/>
        <v>3.2031768403082556E-9</v>
      </c>
      <c r="L19">
        <f t="shared" si="10"/>
        <v>8.8097188818704796E-6</v>
      </c>
      <c r="M19">
        <f t="shared" si="0"/>
        <v>2.3328679813808309E-5</v>
      </c>
    </row>
    <row r="20" spans="5:13" x14ac:dyDescent="0.25">
      <c r="E20" s="1">
        <v>16</v>
      </c>
      <c r="F20">
        <f t="shared" si="4"/>
        <v>1.7320404052734375</v>
      </c>
      <c r="G20">
        <f t="shared" si="5"/>
        <v>1.7320556640625</v>
      </c>
      <c r="H20" s="2">
        <f t="shared" si="6"/>
        <v>1.7320480346679688</v>
      </c>
      <c r="I20" s="1">
        <f t="shared" si="7"/>
        <v>-3.6034500226378441E-5</v>
      </c>
      <c r="J20" s="1">
        <f t="shared" si="8"/>
        <v>-9.6056028269231319E-6</v>
      </c>
      <c r="K20" s="1">
        <f t="shared" si="9"/>
        <v>3.4613309724126299E-10</v>
      </c>
      <c r="L20">
        <f t="shared" si="10"/>
        <v>4.4048400382340118E-6</v>
      </c>
      <c r="M20">
        <f t="shared" si="0"/>
        <v>2.7733642014299068E-5</v>
      </c>
    </row>
    <row r="21" spans="5:13" x14ac:dyDescent="0.25">
      <c r="E21" s="9">
        <v>17</v>
      </c>
      <c r="F21" s="10">
        <f t="shared" si="4"/>
        <v>1.7320480346679688</v>
      </c>
      <c r="G21" s="10">
        <f t="shared" si="5"/>
        <v>1.7320556640625</v>
      </c>
      <c r="H21" s="9">
        <f t="shared" si="6"/>
        <v>1.7320518493652344</v>
      </c>
      <c r="I21" s="9">
        <f t="shared" si="7"/>
        <v>-9.6056028269231319E-6</v>
      </c>
      <c r="J21" s="9">
        <f t="shared" si="8"/>
        <v>3.6088895285502076E-6</v>
      </c>
      <c r="K21" s="9">
        <f t="shared" si="9"/>
        <v>-3.4665559457495163E-11</v>
      </c>
      <c r="L21" s="10">
        <f t="shared" si="10"/>
        <v>2.2024151684737483E-6</v>
      </c>
      <c r="M21" s="10">
        <f t="shared" si="0"/>
        <v>2.9936123114544451E-5</v>
      </c>
    </row>
    <row r="22" spans="5:13" x14ac:dyDescent="0.25">
      <c r="E22" s="9">
        <v>18</v>
      </c>
      <c r="F22" s="10">
        <f>IF(K21&lt;0,F21,H21)</f>
        <v>1.7320480346679688</v>
      </c>
      <c r="G22" s="10">
        <f>IF(K21&gt;0,G21,H21)</f>
        <v>1.7320518493652344</v>
      </c>
      <c r="H22" s="9">
        <f>(F22+G22)/2</f>
        <v>1.7320499420166016</v>
      </c>
      <c r="I22" s="9">
        <f>(F22)^2-3</f>
        <v>-9.6056028269231319E-6</v>
      </c>
      <c r="J22" s="9">
        <f>(H22)^2-3</f>
        <v>-2.9983602871652693E-6</v>
      </c>
      <c r="K22" s="9">
        <f>I22*J22</f>
        <v>2.8801058050528764E-11</v>
      </c>
      <c r="L22" s="10">
        <f t="shared" si="10"/>
        <v>1.1012087968963532E-6</v>
      </c>
      <c r="M22" s="10">
        <f t="shared" si="0"/>
        <v>2.8834882564421761E-5</v>
      </c>
    </row>
    <row r="44" spans="19:27" x14ac:dyDescent="0.25">
      <c r="S44" s="6"/>
      <c r="T44" s="6"/>
      <c r="U44" s="6"/>
      <c r="V44" s="6"/>
      <c r="W44" s="6"/>
      <c r="X44" s="6"/>
      <c r="Y44" s="6"/>
      <c r="Z44" s="6"/>
      <c r="AA44" s="6"/>
    </row>
    <row r="45" spans="19:27" x14ac:dyDescent="0.25">
      <c r="S45" s="6"/>
      <c r="T45" s="6"/>
      <c r="U45" s="6"/>
      <c r="V45" s="6"/>
      <c r="W45" s="6"/>
      <c r="X45" s="6"/>
      <c r="Y45" s="6"/>
      <c r="Z45" s="7"/>
      <c r="AA45" s="7"/>
    </row>
    <row r="46" spans="19:27" x14ac:dyDescent="0.25">
      <c r="S46" s="6"/>
      <c r="T46" s="7"/>
      <c r="U46" s="7"/>
      <c r="V46" s="6"/>
      <c r="W46" s="6"/>
      <c r="X46" s="6"/>
      <c r="Y46" s="6"/>
      <c r="Z46" s="7"/>
      <c r="AA46" s="7"/>
    </row>
    <row r="47" spans="19:27" x14ac:dyDescent="0.25">
      <c r="S47" s="6"/>
      <c r="T47" s="7"/>
      <c r="U47" s="7"/>
      <c r="V47" s="6"/>
      <c r="W47" s="6"/>
      <c r="X47" s="6"/>
      <c r="Y47" s="6"/>
      <c r="Z47" s="7"/>
      <c r="AA47" s="7"/>
    </row>
    <row r="48" spans="19:27" x14ac:dyDescent="0.25">
      <c r="S48" s="6"/>
      <c r="T48" s="7"/>
      <c r="U48" s="7"/>
      <c r="V48" s="6"/>
      <c r="W48" s="6"/>
      <c r="X48" s="6"/>
      <c r="Y48" s="6"/>
      <c r="Z48" s="7"/>
      <c r="AA48" s="7"/>
    </row>
    <row r="49" spans="19:27" x14ac:dyDescent="0.25">
      <c r="S49" s="6"/>
      <c r="T49" s="7"/>
      <c r="U49" s="7"/>
      <c r="V49" s="6"/>
      <c r="W49" s="6"/>
      <c r="X49" s="6"/>
      <c r="Y49" s="6"/>
      <c r="Z49" s="7"/>
      <c r="AA49" s="7"/>
    </row>
    <row r="50" spans="19:27" x14ac:dyDescent="0.25">
      <c r="S50" s="6"/>
      <c r="T50" s="7"/>
      <c r="U50" s="7"/>
      <c r="V50" s="6"/>
      <c r="W50" s="6"/>
      <c r="X50" s="6"/>
      <c r="Y50" s="6"/>
      <c r="Z50" s="7"/>
      <c r="AA50" s="7"/>
    </row>
    <row r="51" spans="19:27" x14ac:dyDescent="0.25">
      <c r="S51" s="6"/>
      <c r="T51" s="7"/>
      <c r="U51" s="7"/>
      <c r="V51" s="6"/>
      <c r="W51" s="6"/>
      <c r="X51" s="6"/>
      <c r="Y51" s="6"/>
      <c r="Z51" s="7"/>
      <c r="AA51" s="7"/>
    </row>
    <row r="52" spans="19:27" x14ac:dyDescent="0.25">
      <c r="S52" s="6"/>
      <c r="T52" s="7"/>
      <c r="U52" s="7"/>
      <c r="V52" s="6"/>
      <c r="W52" s="6"/>
      <c r="X52" s="6"/>
      <c r="Y52" s="6"/>
      <c r="Z52" s="7"/>
      <c r="AA52" s="7"/>
    </row>
    <row r="53" spans="19:27" x14ac:dyDescent="0.25">
      <c r="S53" s="6"/>
      <c r="T53" s="7"/>
      <c r="U53" s="7"/>
      <c r="V53" s="6"/>
      <c r="W53" s="6"/>
      <c r="X53" s="6"/>
      <c r="Y53" s="6"/>
      <c r="Z53" s="7"/>
      <c r="AA53" s="7"/>
    </row>
    <row r="54" spans="19:27" x14ac:dyDescent="0.25">
      <c r="S54" s="6"/>
      <c r="T54" s="7"/>
      <c r="U54" s="7"/>
      <c r="V54" s="6"/>
      <c r="W54" s="6"/>
      <c r="X54" s="6"/>
      <c r="Y54" s="6"/>
      <c r="Z54" s="7"/>
      <c r="AA54" s="7"/>
    </row>
    <row r="55" spans="19:27" x14ac:dyDescent="0.25">
      <c r="S55" s="6"/>
      <c r="T55" s="7"/>
      <c r="U55" s="7"/>
      <c r="V55" s="6"/>
      <c r="W55" s="6"/>
      <c r="X55" s="6"/>
      <c r="Y55" s="6"/>
      <c r="Z55" s="7"/>
      <c r="AA55" s="7"/>
    </row>
    <row r="56" spans="19:27" x14ac:dyDescent="0.25">
      <c r="S56" s="6"/>
      <c r="T56" s="7"/>
      <c r="U56" s="7"/>
      <c r="V56" s="6"/>
      <c r="W56" s="6"/>
      <c r="X56" s="6"/>
      <c r="Y56" s="6"/>
      <c r="Z56" s="7"/>
      <c r="AA56" s="7"/>
    </row>
    <row r="57" spans="19:27" x14ac:dyDescent="0.25">
      <c r="S57" s="6"/>
      <c r="T57" s="7"/>
      <c r="U57" s="7"/>
      <c r="V57" s="6"/>
      <c r="W57" s="6"/>
      <c r="X57" s="6"/>
      <c r="Y57" s="6"/>
      <c r="Z57" s="7"/>
      <c r="AA57" s="7"/>
    </row>
    <row r="58" spans="19:27" x14ac:dyDescent="0.25">
      <c r="S58" s="6"/>
      <c r="T58" s="7"/>
      <c r="U58" s="7"/>
      <c r="V58" s="6"/>
      <c r="W58" s="6"/>
      <c r="X58" s="6"/>
      <c r="Y58" s="6"/>
      <c r="Z58" s="7"/>
      <c r="AA58" s="7"/>
    </row>
    <row r="59" spans="19:27" x14ac:dyDescent="0.25">
      <c r="S59" s="6"/>
      <c r="T59" s="7"/>
      <c r="U59" s="7"/>
      <c r="V59" s="6"/>
      <c r="W59" s="6"/>
      <c r="X59" s="6"/>
      <c r="Y59" s="6"/>
      <c r="Z59" s="7"/>
      <c r="AA59" s="7"/>
    </row>
    <row r="60" spans="19:27" x14ac:dyDescent="0.25">
      <c r="S60" s="6"/>
      <c r="T60" s="7"/>
      <c r="U60" s="7"/>
      <c r="V60" s="6"/>
      <c r="W60" s="6"/>
      <c r="X60" s="6"/>
      <c r="Y60" s="6"/>
      <c r="Z60" s="7"/>
      <c r="AA60" s="7"/>
    </row>
    <row r="61" spans="19:27" x14ac:dyDescent="0.25">
      <c r="S61" s="6"/>
      <c r="T61" s="7"/>
      <c r="U61" s="7"/>
      <c r="V61" s="6"/>
      <c r="W61" s="6"/>
      <c r="X61" s="6"/>
      <c r="Y61" s="6"/>
      <c r="Z61" s="7"/>
      <c r="AA61" s="7"/>
    </row>
    <row r="62" spans="19:27" x14ac:dyDescent="0.25">
      <c r="S62" s="6"/>
      <c r="T62" s="7"/>
      <c r="U62" s="7"/>
      <c r="V62" s="6"/>
      <c r="W62" s="6"/>
      <c r="X62" s="6"/>
      <c r="Y62" s="6"/>
      <c r="Z62" s="7"/>
      <c r="AA62" s="7"/>
    </row>
    <row r="63" spans="19:27" x14ac:dyDescent="0.25">
      <c r="S63" s="6"/>
      <c r="T63" s="7"/>
      <c r="U63" s="7"/>
      <c r="V63" s="6"/>
      <c r="W63" s="6"/>
      <c r="X63" s="6"/>
      <c r="Y63" s="6"/>
      <c r="Z63" s="7"/>
      <c r="AA63" s="7"/>
    </row>
  </sheetData>
  <mergeCells count="2">
    <mergeCell ref="AP3:AR3"/>
    <mergeCell ref="P3:R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2026-09-18T05:58:01Z</dcterms:created>
  <dcterms:modified xsi:type="dcterms:W3CDTF">2026-09-18T08:26:08Z</dcterms:modified>
</cp:coreProperties>
</file>