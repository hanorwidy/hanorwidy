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TNUM\"/>
    </mc:Choice>
  </mc:AlternateContent>
  <xr:revisionPtr revIDLastSave="0" documentId="8_{40F981BE-A754-4BA7-B3C3-D611C3DA8FA1}" xr6:coauthVersionLast="47" xr6:coauthVersionMax="47" xr10:uidLastSave="{00000000-0000-0000-0000-000000000000}"/>
  <bookViews>
    <workbookView xWindow="-120" yWindow="-120" windowWidth="21840" windowHeight="13140" xr2:uid="{3B874D2B-CBFC-47CC-AABC-65ECBD24E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7" i="1" l="1"/>
  <c r="C31" i="1"/>
  <c r="G31" i="1" s="1"/>
  <c r="F16" i="1"/>
  <c r="J16" i="1" s="1"/>
  <c r="E16" i="1"/>
  <c r="I16" i="1" s="1"/>
  <c r="D16" i="1"/>
  <c r="C16" i="1"/>
  <c r="D47" i="1" l="1"/>
  <c r="C48" i="1" s="1"/>
  <c r="G47" i="1"/>
  <c r="D31" i="1"/>
  <c r="E31" i="1" s="1"/>
  <c r="I31" i="1" s="1"/>
  <c r="C17" i="1"/>
  <c r="F17" i="1"/>
  <c r="J17" i="1" s="1"/>
  <c r="H16" i="1"/>
  <c r="D17" i="1"/>
  <c r="E17" i="1"/>
  <c r="I17" i="1" s="1"/>
  <c r="G16" i="1"/>
  <c r="E47" i="1" l="1"/>
  <c r="D48" i="1" s="1"/>
  <c r="G48" i="1"/>
  <c r="H47" i="1"/>
  <c r="I47" i="1"/>
  <c r="F31" i="1"/>
  <c r="C32" i="1"/>
  <c r="H31" i="1"/>
  <c r="J31" i="1"/>
  <c r="E18" i="1"/>
  <c r="I18" i="1" s="1"/>
  <c r="D18" i="1"/>
  <c r="G17" i="1"/>
  <c r="F18" i="1"/>
  <c r="J18" i="1" s="1"/>
  <c r="C18" i="1"/>
  <c r="H17" i="1"/>
  <c r="E48" i="1" l="1"/>
  <c r="I48" i="1" s="1"/>
  <c r="H48" i="1"/>
  <c r="C49" i="1"/>
  <c r="G32" i="1"/>
  <c r="D32" i="1"/>
  <c r="E32" i="1" s="1"/>
  <c r="I32" i="1" s="1"/>
  <c r="F19" i="1"/>
  <c r="J19" i="1" s="1"/>
  <c r="C19" i="1"/>
  <c r="H18" i="1"/>
  <c r="E19" i="1"/>
  <c r="I19" i="1" s="1"/>
  <c r="D19" i="1"/>
  <c r="G18" i="1"/>
  <c r="G49" i="1" l="1"/>
  <c r="D49" i="1"/>
  <c r="C50" i="1" s="1"/>
  <c r="H32" i="1"/>
  <c r="C33" i="1"/>
  <c r="F32" i="1"/>
  <c r="J32" i="1" s="1"/>
  <c r="E20" i="1"/>
  <c r="I20" i="1" s="1"/>
  <c r="D20" i="1"/>
  <c r="G19" i="1"/>
  <c r="F20" i="1"/>
  <c r="J20" i="1" s="1"/>
  <c r="C20" i="1"/>
  <c r="H19" i="1"/>
  <c r="H49" i="1" l="1"/>
  <c r="E49" i="1"/>
  <c r="G50" i="1"/>
  <c r="G33" i="1"/>
  <c r="D33" i="1"/>
  <c r="E33" i="1" s="1"/>
  <c r="I33" i="1" s="1"/>
  <c r="F21" i="1"/>
  <c r="J21" i="1" s="1"/>
  <c r="C21" i="1"/>
  <c r="H20" i="1"/>
  <c r="E21" i="1"/>
  <c r="I21" i="1" s="1"/>
  <c r="D21" i="1"/>
  <c r="G20" i="1"/>
  <c r="I49" i="1" l="1"/>
  <c r="D50" i="1"/>
  <c r="H33" i="1"/>
  <c r="F33" i="1"/>
  <c r="C34" i="1"/>
  <c r="J33" i="1"/>
  <c r="D22" i="1"/>
  <c r="E22" i="1"/>
  <c r="I22" i="1" s="1"/>
  <c r="G21" i="1"/>
  <c r="F22" i="1"/>
  <c r="J22" i="1" s="1"/>
  <c r="C22" i="1"/>
  <c r="H21" i="1"/>
  <c r="E50" i="1" l="1"/>
  <c r="H50" i="1"/>
  <c r="C51" i="1"/>
  <c r="G34" i="1"/>
  <c r="D34" i="1"/>
  <c r="C23" i="1"/>
  <c r="H22" i="1"/>
  <c r="F23" i="1"/>
  <c r="J23" i="1" s="1"/>
  <c r="E23" i="1"/>
  <c r="I23" i="1" s="1"/>
  <c r="D23" i="1"/>
  <c r="G22" i="1"/>
  <c r="I50" i="1" l="1"/>
  <c r="G51" i="1"/>
  <c r="D51" i="1"/>
  <c r="E51" i="1" s="1"/>
  <c r="H34" i="1"/>
  <c r="E34" i="1"/>
  <c r="D24" i="1"/>
  <c r="E24" i="1"/>
  <c r="I24" i="1" s="1"/>
  <c r="G23" i="1"/>
  <c r="F24" i="1"/>
  <c r="J24" i="1" s="1"/>
  <c r="C24" i="1"/>
  <c r="H23" i="1"/>
  <c r="I51" i="1" l="1"/>
  <c r="C52" i="1"/>
  <c r="H51" i="1"/>
  <c r="I34" i="1"/>
  <c r="F34" i="1"/>
  <c r="J34" i="1" s="1"/>
  <c r="C35" i="1"/>
  <c r="F25" i="1"/>
  <c r="J25" i="1" s="1"/>
  <c r="C25" i="1"/>
  <c r="G25" i="1" s="1"/>
  <c r="H24" i="1"/>
  <c r="E25" i="1"/>
  <c r="I25" i="1" s="1"/>
  <c r="D25" i="1"/>
  <c r="H25" i="1" s="1"/>
  <c r="G24" i="1"/>
  <c r="G52" i="1" l="1"/>
  <c r="D52" i="1"/>
  <c r="C53" i="1" s="1"/>
  <c r="D35" i="1"/>
  <c r="G35" i="1"/>
  <c r="G53" i="1" l="1"/>
  <c r="E52" i="1"/>
  <c r="D53" i="1" s="1"/>
  <c r="H53" i="1" s="1"/>
  <c r="H52" i="1"/>
  <c r="H35" i="1"/>
  <c r="E35" i="1"/>
  <c r="E53" i="1" l="1"/>
  <c r="I53" i="1" s="1"/>
  <c r="I52" i="1"/>
  <c r="I35" i="1"/>
  <c r="F35" i="1"/>
  <c r="J35" i="1" s="1"/>
</calcChain>
</file>

<file path=xl/sharedStrings.xml><?xml version="1.0" encoding="utf-8"?>
<sst xmlns="http://schemas.openxmlformats.org/spreadsheetml/2006/main" count="37" uniqueCount="11">
  <si>
    <t>SISTEM PERSAMAAN LINIER</t>
  </si>
  <si>
    <t>Materi Jacobi</t>
  </si>
  <si>
    <t>Iterasi</t>
  </si>
  <si>
    <t xml:space="preserve">Solusi </t>
  </si>
  <si>
    <t>x1</t>
  </si>
  <si>
    <t>x2</t>
  </si>
  <si>
    <t>x3</t>
  </si>
  <si>
    <t>x4</t>
  </si>
  <si>
    <t>Galat</t>
  </si>
  <si>
    <t>Materi Gauss</t>
  </si>
  <si>
    <t>Materi 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</si>
</sst>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747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top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0" borderId="0" xfId="1" applyFont="1"/>
    <xf numFmtId="0" fontId="0" fillId="5" borderId="0" xfId="0" applyFill="1"/>
    <xf numFmtId="9" fontId="0" fillId="5" borderId="0" xfId="1" applyFont="1" applyFill="1"/>
    <xf numFmtId="0" fontId="0" fillId="0" borderId="0" xfId="0" applyFill="1"/>
    <xf numFmtId="9" fontId="0" fillId="0" borderId="0" xfId="1" applyFont="1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996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Materi Jacobi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Sheet1!$C$13:$C$14</c:f>
              <c:strCache>
                <c:ptCount val="2"/>
                <c:pt idx="0">
                  <c:v>Solusi </c:v>
                </c:pt>
                <c:pt idx="1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Sheet1!$B$15:$B$23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Sheet1!$C$15:$C$23</c:f>
              <c:numCache>
                <c:formatCode>General</c:formatCode>
                <c:ptCount val="9"/>
                <c:pt idx="0">
                  <c:v>0</c:v>
                </c:pt>
                <c:pt idx="1">
                  <c:v>0.6</c:v>
                </c:pt>
                <c:pt idx="2">
                  <c:v>1.0472727272727274</c:v>
                </c:pt>
                <c:pt idx="3">
                  <c:v>0.9326363636363636</c:v>
                </c:pt>
                <c:pt idx="4">
                  <c:v>1.0151987603305785</c:v>
                </c:pt>
                <c:pt idx="5">
                  <c:v>0.98899130165289262</c:v>
                </c:pt>
                <c:pt idx="6">
                  <c:v>1.003198653362134</c:v>
                </c:pt>
                <c:pt idx="7">
                  <c:v>0.99812847341754318</c:v>
                </c:pt>
                <c:pt idx="8">
                  <c:v>1.0006251342791859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1-455E-AF9C-C69FB94EAA4D}"/>
            </c:ext>
          </c:extLst>
        </c:ser>
        <c:ser>
          <c:idx val="1"/>
          <c:order val="1"/>
          <c:tx>
            <c:strRef>
              <c:f>Sheet1!$D$13:$D$14</c:f>
              <c:strCache>
                <c:ptCount val="2"/>
                <c:pt idx="0">
                  <c:v>Solusi </c:v>
                </c:pt>
                <c:pt idx="1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Sheet1!$B$15:$B$23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Sheet1!$D$15:$D$23</c:f>
              <c:numCache>
                <c:formatCode>General</c:formatCode>
                <c:ptCount val="9"/>
                <c:pt idx="0">
                  <c:v>0</c:v>
                </c:pt>
                <c:pt idx="1">
                  <c:v>2.2727272727272729</c:v>
                </c:pt>
                <c:pt idx="2">
                  <c:v>1.7159090909090908</c:v>
                </c:pt>
                <c:pt idx="3">
                  <c:v>2.0533057851239671</c:v>
                </c:pt>
                <c:pt idx="4">
                  <c:v>1.9536957644628101</c:v>
                </c:pt>
                <c:pt idx="5">
                  <c:v>2.0114147257700976</c:v>
                </c:pt>
                <c:pt idx="6">
                  <c:v>1.9922412606827571</c:v>
                </c:pt>
                <c:pt idx="7">
                  <c:v>2.0023068815526606</c:v>
                </c:pt>
                <c:pt idx="8">
                  <c:v>1.9986703011223563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91-455E-AF9C-C69FB94EAA4D}"/>
            </c:ext>
          </c:extLst>
        </c:ser>
        <c:ser>
          <c:idx val="2"/>
          <c:order val="2"/>
          <c:tx>
            <c:strRef>
              <c:f>Sheet1!$E$13:$E$14</c:f>
              <c:strCache>
                <c:ptCount val="2"/>
                <c:pt idx="0">
                  <c:v>Solusi </c:v>
                </c:pt>
                <c:pt idx="1">
                  <c:v>x3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Sheet1!$B$15:$B$23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Sheet1!$E$15:$E$23</c:f>
              <c:numCache>
                <c:formatCode>General</c:formatCode>
                <c:ptCount val="9"/>
                <c:pt idx="0">
                  <c:v>0</c:v>
                </c:pt>
                <c:pt idx="1">
                  <c:v>-1.1000000000000001</c:v>
                </c:pt>
                <c:pt idx="2">
                  <c:v>-0.80522727272727257</c:v>
                </c:pt>
                <c:pt idx="3">
                  <c:v>-1.0493409090909092</c:v>
                </c:pt>
                <c:pt idx="4">
                  <c:v>-0.9681086260330577</c:v>
                </c:pt>
                <c:pt idx="5">
                  <c:v>-1.0102859039256198</c:v>
                </c:pt>
                <c:pt idx="6">
                  <c:v>-0.99452173674633748</c:v>
                </c:pt>
                <c:pt idx="7">
                  <c:v>-1.0019722306195997</c:v>
                </c:pt>
                <c:pt idx="8">
                  <c:v>-0.99903557551317501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91-455E-AF9C-C69FB94EAA4D}"/>
            </c:ext>
          </c:extLst>
        </c:ser>
        <c:ser>
          <c:idx val="3"/>
          <c:order val="3"/>
          <c:tx>
            <c:strRef>
              <c:f>Sheet1!$F$13:$F$14</c:f>
              <c:strCache>
                <c:ptCount val="2"/>
                <c:pt idx="0">
                  <c:v>Solusi </c:v>
                </c:pt>
                <c:pt idx="1">
                  <c:v>x4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Sheet1!$B$15:$B$23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Sheet1!$F$15:$F$23</c:f>
              <c:numCache>
                <c:formatCode>General</c:formatCode>
                <c:ptCount val="9"/>
                <c:pt idx="0">
                  <c:v>0</c:v>
                </c:pt>
                <c:pt idx="1">
                  <c:v>1.875</c:v>
                </c:pt>
                <c:pt idx="2">
                  <c:v>0.88522727272727275</c:v>
                </c:pt>
                <c:pt idx="3">
                  <c:v>1.1308806818181818</c:v>
                </c:pt>
                <c:pt idx="4">
                  <c:v>0.97384271694214875</c:v>
                </c:pt>
                <c:pt idx="5">
                  <c:v>1.0213505100723141</c:v>
                </c:pt>
                <c:pt idx="6">
                  <c:v>0.99443373984551098</c:v>
                </c:pt>
                <c:pt idx="7">
                  <c:v>1.0035943101506739</c:v>
                </c:pt>
                <c:pt idx="8">
                  <c:v>0.99888839059030232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91-455E-AF9C-C69FB94EA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684800"/>
        <c:axId val="788618112"/>
      </c:scatterChart>
      <c:valAx>
        <c:axId val="10036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Solusi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618112"/>
        <c:crosses val="autoZero"/>
        <c:crossBetween val="midCat"/>
      </c:valAx>
      <c:valAx>
        <c:axId val="7886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Iterasi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684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Materi Gauss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Sheet1!$C$29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Sheet1!$B$30:$B$35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Sheet1!$C$30:$C$35</c:f>
              <c:numCache>
                <c:formatCode>General</c:formatCode>
                <c:ptCount val="6"/>
                <c:pt idx="0">
                  <c:v>0</c:v>
                </c:pt>
                <c:pt idx="1">
                  <c:v>0.6</c:v>
                </c:pt>
                <c:pt idx="2">
                  <c:v>1.0301818181818183</c:v>
                </c:pt>
                <c:pt idx="3">
                  <c:v>1.0065850413223141</c:v>
                </c:pt>
                <c:pt idx="4">
                  <c:v>1.0008609786250939</c:v>
                </c:pt>
                <c:pt idx="5">
                  <c:v>1.0000912802859949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AB-43A9-8021-A2DF5DA9C649}"/>
            </c:ext>
          </c:extLst>
        </c:ser>
        <c:ser>
          <c:idx val="1"/>
          <c:order val="1"/>
          <c:tx>
            <c:strRef>
              <c:f>Sheet1!$D$29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Sheet1!$B$30:$B$35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Sheet1!$D$30:$D$35</c:f>
              <c:numCache>
                <c:formatCode>General</c:formatCode>
                <c:ptCount val="6"/>
                <c:pt idx="0">
                  <c:v>0</c:v>
                </c:pt>
                <c:pt idx="1">
                  <c:v>2.3272727272727276</c:v>
                </c:pt>
                <c:pt idx="2">
                  <c:v>2.0369380165289255</c:v>
                </c:pt>
                <c:pt idx="3">
                  <c:v>2.003555016904583</c:v>
                </c:pt>
                <c:pt idx="4">
                  <c:v>2.000298250656547</c:v>
                </c:pt>
                <c:pt idx="5">
                  <c:v>2.000021342246459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AB-43A9-8021-A2DF5DA9C649}"/>
            </c:ext>
          </c:extLst>
        </c:ser>
        <c:ser>
          <c:idx val="2"/>
          <c:order val="2"/>
          <c:tx>
            <c:strRef>
              <c:f>Sheet1!$E$29</c:f>
              <c:strCache>
                <c:ptCount val="1"/>
                <c:pt idx="0">
                  <c:v>x3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Sheet1!$B$30:$B$35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Sheet1!$E$30:$E$35</c:f>
              <c:numCache>
                <c:formatCode>General</c:formatCode>
                <c:ptCount val="6"/>
                <c:pt idx="0">
                  <c:v>0</c:v>
                </c:pt>
                <c:pt idx="1">
                  <c:v>-0.98727272727272708</c:v>
                </c:pt>
                <c:pt idx="2">
                  <c:v>-1.0144561983471074</c:v>
                </c:pt>
                <c:pt idx="3">
                  <c:v>-1.0025273846731779</c:v>
                </c:pt>
                <c:pt idx="4">
                  <c:v>-1.0003072761017007</c:v>
                </c:pt>
                <c:pt idx="5">
                  <c:v>-1.0000311471834449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AB-43A9-8021-A2DF5DA9C649}"/>
            </c:ext>
          </c:extLst>
        </c:ser>
        <c:ser>
          <c:idx val="3"/>
          <c:order val="3"/>
          <c:tx>
            <c:strRef>
              <c:f>Sheet1!$F$29</c:f>
              <c:strCache>
                <c:ptCount val="1"/>
                <c:pt idx="0">
                  <c:v>x4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Sheet1!$B$30:$B$35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Sheet1!$F$30:$F$35</c:f>
              <c:numCache>
                <c:formatCode>General</c:formatCode>
                <c:ptCount val="6"/>
                <c:pt idx="0">
                  <c:v>0</c:v>
                </c:pt>
                <c:pt idx="1">
                  <c:v>0.87886363636363629</c:v>
                </c:pt>
                <c:pt idx="2">
                  <c:v>0.98434121900826443</c:v>
                </c:pt>
                <c:pt idx="3">
                  <c:v>0.99835094557663417</c:v>
                </c:pt>
                <c:pt idx="4">
                  <c:v>0.99984974649108227</c:v>
                </c:pt>
                <c:pt idx="5">
                  <c:v>0.99998810325964727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AB-43A9-8021-A2DF5DA9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478768"/>
        <c:axId val="964248448"/>
      </c:scatterChart>
      <c:valAx>
        <c:axId val="102547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248448"/>
        <c:crosses val="autoZero"/>
        <c:crossBetween val="midCat"/>
      </c:valAx>
      <c:valAx>
        <c:axId val="96424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7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Materi 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Sheet1!$C$45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Sheet1!$B$46:$B$53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Sheet1!$C$46:$C$53</c:f>
              <c:numCache>
                <c:formatCode>General</c:formatCode>
                <c:ptCount val="8"/>
                <c:pt idx="0">
                  <c:v>0</c:v>
                </c:pt>
                <c:pt idx="1">
                  <c:v>7.5</c:v>
                </c:pt>
                <c:pt idx="2">
                  <c:v>3.427734375</c:v>
                </c:pt>
                <c:pt idx="3">
                  <c:v>3.3986663818359375</c:v>
                </c:pt>
                <c:pt idx="4">
                  <c:v>3.044237494468689</c:v>
                </c:pt>
                <c:pt idx="5">
                  <c:v>3.0259199207648635</c:v>
                </c:pt>
                <c:pt idx="6">
                  <c:v>3.0021489591672434</c:v>
                </c:pt>
                <c:pt idx="7">
                  <c:v>3.0012637832223277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92-40C4-BF4A-91871E712D12}"/>
            </c:ext>
          </c:extLst>
        </c:ser>
        <c:ser>
          <c:idx val="1"/>
          <c:order val="1"/>
          <c:tx>
            <c:strRef>
              <c:f>Sheet1!$D$45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Sheet1!$B$46:$B$53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Sheet1!$D$46:$D$53</c:f>
              <c:numCache>
                <c:formatCode>General</c:formatCode>
                <c:ptCount val="8"/>
                <c:pt idx="0">
                  <c:v>0</c:v>
                </c:pt>
                <c:pt idx="1">
                  <c:v>2.34375</c:v>
                </c:pt>
                <c:pt idx="2">
                  <c:v>3.460693359375</c:v>
                </c:pt>
                <c:pt idx="3">
                  <c:v>3.8465023040771484</c:v>
                </c:pt>
                <c:pt idx="4">
                  <c:v>3.9605554193258286</c:v>
                </c:pt>
                <c:pt idx="5">
                  <c:v>3.9907957980176434</c:v>
                </c:pt>
                <c:pt idx="6">
                  <c:v>3.9980789087849189</c:v>
                </c:pt>
                <c:pt idx="7">
                  <c:v>3.9996597425917102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92-40C4-BF4A-91871E712D12}"/>
            </c:ext>
          </c:extLst>
        </c:ser>
        <c:ser>
          <c:idx val="2"/>
          <c:order val="2"/>
          <c:tx>
            <c:strRef>
              <c:f>Sheet1!$E$45</c:f>
              <c:strCache>
                <c:ptCount val="1"/>
                <c:pt idx="0">
                  <c:v>x3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Sheet1!$B$46:$B$53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Sheet1!$E$46:$E$53</c:f>
              <c:numCache>
                <c:formatCode>General</c:formatCode>
                <c:ptCount val="8"/>
                <c:pt idx="0">
                  <c:v>0</c:v>
                </c:pt>
                <c:pt idx="1">
                  <c:v>-6.767578125</c:v>
                </c:pt>
                <c:pt idx="2">
                  <c:v>-4.7266387939453125</c:v>
                </c:pt>
                <c:pt idx="3">
                  <c:v>-5.116308331489563</c:v>
                </c:pt>
                <c:pt idx="4">
                  <c:v>-4.9832493485882878</c:v>
                </c:pt>
                <c:pt idx="5">
                  <c:v>-5.0070639759724145</c:v>
                </c:pt>
                <c:pt idx="6">
                  <c:v>-4.9988343470116092</c:v>
                </c:pt>
                <c:pt idx="7">
                  <c:v>-5.0003977436871878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92-40C4-BF4A-91871E712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462528"/>
        <c:axId val="964225408"/>
      </c:scatterChart>
      <c:valAx>
        <c:axId val="102546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225408"/>
        <c:crosses val="autoZero"/>
        <c:crossBetween val="midCat"/>
      </c:valAx>
      <c:valAx>
        <c:axId val="9642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62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3</xdr:row>
      <xdr:rowOff>28576</xdr:rowOff>
    </xdr:from>
    <xdr:ext cx="1847849" cy="6889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FE85D68-F00E-D789-D36F-49300F35AE1F}"/>
                </a:ext>
              </a:extLst>
            </xdr:cNvPr>
            <xdr:cNvSpPr txBox="1"/>
          </xdr:nvSpPr>
          <xdr:spPr>
            <a:xfrm>
              <a:off x="200025" y="409576"/>
              <a:ext cx="1847849" cy="688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10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1</m:t>
                  </m:r>
                </m:oMath>
              </a14:m>
              <a:r>
                <a:rPr lang="en-ID" sz="1100"/>
                <a:t> -x2 +2x3  =6</a:t>
              </a:r>
              <a:br>
                <a:rPr lang="en-ID" sz="1100"/>
              </a:br>
              <a:r>
                <a:rPr lang="en-ID" sz="1100"/>
                <a:t>-x1 + 11x2 -x3 +3x4   =25</a:t>
              </a:r>
            </a:p>
            <a:p>
              <a:r>
                <a:rPr lang="en-ID" sz="1100"/>
                <a:t>2x1 -x2 = 10x3 - x4  =-11</a:t>
              </a:r>
            </a:p>
            <a:p>
              <a:r>
                <a:rPr lang="en-ID" sz="1100"/>
                <a:t>3x2 -x3 + 8x4  = 15</a:t>
              </a: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FE85D68-F00E-D789-D36F-49300F35AE1F}"/>
                </a:ext>
              </a:extLst>
            </xdr:cNvPr>
            <xdr:cNvSpPr txBox="1"/>
          </xdr:nvSpPr>
          <xdr:spPr>
            <a:xfrm>
              <a:off x="200025" y="409576"/>
              <a:ext cx="1847849" cy="688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10𝑥1</a:t>
              </a:r>
              <a:r>
                <a:rPr lang="en-ID" sz="1100"/>
                <a:t> -x2 +2x3  =6</a:t>
              </a:r>
              <a:br>
                <a:rPr lang="en-ID" sz="1100"/>
              </a:br>
              <a:r>
                <a:rPr lang="en-ID" sz="1100"/>
                <a:t>-x1 + 11x2 -x3 +3x4   =25</a:t>
              </a:r>
            </a:p>
            <a:p>
              <a:r>
                <a:rPr lang="en-ID" sz="1100"/>
                <a:t>2x1 -x2 = 10x3 - x4  =-11</a:t>
              </a:r>
            </a:p>
            <a:p>
              <a:r>
                <a:rPr lang="en-ID" sz="1100"/>
                <a:t>3x2 -x3 + 8x4  = 15</a:t>
              </a:r>
            </a:p>
          </xdr:txBody>
        </xdr:sp>
      </mc:Fallback>
    </mc:AlternateContent>
    <xdr:clientData/>
  </xdr:oneCellAnchor>
  <xdr:oneCellAnchor>
    <xdr:from>
      <xdr:col>5</xdr:col>
      <xdr:colOff>133350</xdr:colOff>
      <xdr:row>2</xdr:row>
      <xdr:rowOff>109537</xdr:rowOff>
    </xdr:from>
    <xdr:ext cx="2486025" cy="147655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5F11172-22C0-D98C-60E5-2E6A7C763657}"/>
                </a:ext>
              </a:extLst>
            </xdr:cNvPr>
            <xdr:cNvSpPr txBox="1"/>
          </xdr:nvSpPr>
          <xdr:spPr>
            <a:xfrm>
              <a:off x="2495550" y="300037"/>
              <a:ext cx="2486025" cy="14765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1=6+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2 −2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3)/10</m:t>
                    </m:r>
                  </m:oMath>
                </m:oMathPara>
              </a14:m>
              <a:endParaRPr lang="en-US" sz="1100" b="0"/>
            </a:p>
            <a:p>
              <a:br>
                <a:rPr lang="en-US" sz="1100" b="0"/>
              </a:br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25+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3 −3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11</m:t>
                        </m:r>
                      </m:den>
                    </m:f>
                  </m:oMath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−11−2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</m:oMath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15−3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</m:t>
                        </m:r>
                      </m:den>
                    </m:f>
                  </m:oMath>
                </m:oMathPara>
              </a14:m>
              <a:endParaRPr lang="en-US" sz="1100" b="0"/>
            </a:p>
            <a:p>
              <a:endParaRPr lang="en-US" sz="1100" b="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5F11172-22C0-D98C-60E5-2E6A7C763657}"/>
                </a:ext>
              </a:extLst>
            </xdr:cNvPr>
            <xdr:cNvSpPr txBox="1"/>
          </xdr:nvSpPr>
          <xdr:spPr>
            <a:xfrm>
              <a:off x="2495550" y="300037"/>
              <a:ext cx="2486025" cy="14765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𝑥1=6+𝑥2 −2𝑥3)/10</a:t>
              </a:r>
              <a:endParaRPr lang="en-US" sz="1100" b="0"/>
            </a:p>
            <a:p>
              <a:br>
                <a:rPr lang="en-US" sz="1100" b="0"/>
              </a:br>
              <a:r>
                <a:rPr lang="en-US" sz="1100" b="0" i="0">
                  <a:latin typeface="Cambria Math" panose="02040503050406030204" pitchFamily="18" charset="0"/>
                </a:rPr>
                <a:t>𝑥2=(25+𝑥1+𝑥3 −3𝑥4)/11</a:t>
              </a:r>
              <a:br>
                <a:rPr lang="en-US" sz="1100" b="0"/>
              </a:br>
              <a:r>
                <a:rPr lang="en-US" sz="1100" b="0" i="0">
                  <a:latin typeface="Cambria Math" panose="02040503050406030204" pitchFamily="18" charset="0"/>
                </a:rPr>
                <a:t>𝑥3=(−11−2𝑥1+𝑥2+𝑥4)/10</a:t>
              </a:r>
              <a:br>
                <a:rPr lang="en-US" sz="1100" b="0"/>
              </a:br>
              <a:r>
                <a:rPr lang="en-US" sz="1100" b="0" i="0">
                  <a:latin typeface="Cambria Math" panose="02040503050406030204" pitchFamily="18" charset="0"/>
                </a:rPr>
                <a:t>𝑥4=(15−3𝑥2+𝑥3)/8</a:t>
              </a:r>
              <a:endParaRPr lang="en-US" sz="1100" b="0"/>
            </a:p>
            <a:p>
              <a:endParaRPr lang="en-US" sz="1100" b="0"/>
            </a:p>
          </xdr:txBody>
        </xdr:sp>
      </mc:Fallback>
    </mc:AlternateContent>
    <xdr:clientData/>
  </xdr:oneCellAnchor>
  <xdr:oneCellAnchor>
    <xdr:from>
      <xdr:col>9</xdr:col>
      <xdr:colOff>0</xdr:colOff>
      <xdr:row>2</xdr:row>
      <xdr:rowOff>100012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23EBA0-56A3-4C15-9796-0B33055E9F36}"/>
            </a:ext>
          </a:extLst>
        </xdr:cNvPr>
        <xdr:cNvSpPr txBox="1"/>
      </xdr:nvSpPr>
      <xdr:spPr>
        <a:xfrm>
          <a:off x="4876800" y="4810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/>
        </a:p>
      </xdr:txBody>
    </xdr:sp>
    <xdr:clientData/>
  </xdr:oneCellAnchor>
  <xdr:twoCellAnchor>
    <xdr:from>
      <xdr:col>10</xdr:col>
      <xdr:colOff>342900</xdr:colOff>
      <xdr:row>12</xdr:row>
      <xdr:rowOff>80962</xdr:rowOff>
    </xdr:from>
    <xdr:to>
      <xdr:col>16</xdr:col>
      <xdr:colOff>152400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EA1B14-0F18-A111-6481-431508EDD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209550</xdr:colOff>
      <xdr:row>27</xdr:row>
      <xdr:rowOff>90487</xdr:rowOff>
    </xdr:from>
    <xdr:to>
      <xdr:col>16</xdr:col>
      <xdr:colOff>9525</xdr:colOff>
      <xdr:row>38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7626A5A-4423-9FF9-7175-62A4B79F0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200025</xdr:colOff>
      <xdr:row>38</xdr:row>
      <xdr:rowOff>71437</xdr:rowOff>
    </xdr:from>
    <xdr:ext cx="1385892" cy="5166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61FF145-7994-CA11-8438-2C833015D6DE}"/>
                </a:ext>
              </a:extLst>
            </xdr:cNvPr>
            <xdr:cNvSpPr txBox="1"/>
          </xdr:nvSpPr>
          <xdr:spPr>
            <a:xfrm>
              <a:off x="6829425" y="7881937"/>
              <a:ext cx="1385892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4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1+3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   =24</m:t>
                    </m:r>
                  </m:oMath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1+4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2 −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 =30</m:t>
                    </m:r>
                  </m:oMath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2+4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 =−24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61FF145-7994-CA11-8438-2C833015D6DE}"/>
                </a:ext>
              </a:extLst>
            </xdr:cNvPr>
            <xdr:cNvSpPr txBox="1"/>
          </xdr:nvSpPr>
          <xdr:spPr>
            <a:xfrm>
              <a:off x="6829425" y="7881937"/>
              <a:ext cx="1385892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4𝑥1+3𝑥2   =24</a:t>
              </a:r>
              <a:br>
                <a:rPr lang="en-US" sz="1100" b="0"/>
              </a:br>
              <a:r>
                <a:rPr lang="en-US" sz="1100" b="0" i="0">
                  <a:latin typeface="Cambria Math" panose="02040503050406030204" pitchFamily="18" charset="0"/>
                </a:rPr>
                <a:t>3𝑥1+4𝑥2 −𝑥3 =30</a:t>
              </a:r>
              <a:br>
                <a:rPr lang="en-US" sz="1100" b="0"/>
              </a:br>
              <a:r>
                <a:rPr lang="en-US" sz="1100" b="0" i="0">
                  <a:latin typeface="Cambria Math" panose="02040503050406030204" pitchFamily="18" charset="0"/>
                </a:rPr>
                <a:t>−𝑥2+4𝑥3 =−24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5</xdr:col>
      <xdr:colOff>85725</xdr:colOff>
      <xdr:row>38</xdr:row>
      <xdr:rowOff>19050</xdr:rowOff>
    </xdr:from>
    <xdr:ext cx="438150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424DC97-2746-5071-7061-AC009A7D966A}"/>
            </a:ext>
          </a:extLst>
        </xdr:cNvPr>
        <xdr:cNvSpPr txBox="1"/>
      </xdr:nvSpPr>
      <xdr:spPr>
        <a:xfrm>
          <a:off x="8543925" y="8020050"/>
          <a:ext cx="43815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twoCellAnchor>
    <xdr:from>
      <xdr:col>10</xdr:col>
      <xdr:colOff>190500</xdr:colOff>
      <xdr:row>44</xdr:row>
      <xdr:rowOff>4762</xdr:rowOff>
    </xdr:from>
    <xdr:to>
      <xdr:col>16</xdr:col>
      <xdr:colOff>447675</xdr:colOff>
      <xdr:row>54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86C0FD-A574-53E8-E8CF-D70368C94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CE88-9FE6-4E91-9ED7-A33EC5FC17D0}">
  <dimension ref="B1:K53"/>
  <sheetViews>
    <sheetView tabSelected="1" topLeftCell="A37" workbookViewId="0">
      <selection activeCell="J49" sqref="J49"/>
    </sheetView>
  </sheetViews>
  <sheetFormatPr defaultRowHeight="15" x14ac:dyDescent="0.25"/>
  <cols>
    <col min="3" max="3" width="9.140625" customWidth="1"/>
    <col min="4" max="4" width="8" customWidth="1"/>
  </cols>
  <sheetData>
    <row r="1" spans="2:11" x14ac:dyDescent="0.25">
      <c r="C1" s="3" t="s">
        <v>0</v>
      </c>
      <c r="D1" s="3"/>
      <c r="E1" s="3"/>
    </row>
    <row r="3" spans="2:11" x14ac:dyDescent="0.25">
      <c r="B3" s="2"/>
      <c r="C3" s="2"/>
      <c r="D3" s="2"/>
      <c r="E3" s="2"/>
      <c r="F3" s="2"/>
      <c r="G3" s="2"/>
      <c r="H3" s="2"/>
      <c r="I3" s="2"/>
      <c r="J3" s="2"/>
    </row>
    <row r="4" spans="2:11" x14ac:dyDescent="0.25">
      <c r="B4" s="2"/>
      <c r="C4" s="2"/>
      <c r="D4" s="2"/>
      <c r="E4" s="2"/>
      <c r="F4" s="2"/>
      <c r="G4" s="2"/>
      <c r="H4" s="2"/>
      <c r="I4" s="2"/>
      <c r="J4" s="2"/>
    </row>
    <row r="5" spans="2:11" x14ac:dyDescent="0.25">
      <c r="B5" s="2"/>
      <c r="C5" s="2"/>
      <c r="D5" s="2"/>
      <c r="E5" s="2"/>
      <c r="F5" s="2"/>
      <c r="G5" s="2"/>
      <c r="H5" s="2"/>
      <c r="I5" s="2"/>
      <c r="J5" s="2"/>
    </row>
    <row r="6" spans="2:11" x14ac:dyDescent="0.25">
      <c r="B6" s="2"/>
      <c r="C6" s="2"/>
      <c r="D6" s="2"/>
      <c r="E6" s="2"/>
      <c r="F6" s="2"/>
      <c r="G6" s="2"/>
      <c r="H6" s="2"/>
      <c r="I6" s="2"/>
      <c r="J6" s="2"/>
    </row>
    <row r="7" spans="2:11" x14ac:dyDescent="0.25">
      <c r="B7" s="2"/>
      <c r="C7" s="2"/>
      <c r="D7" s="2"/>
      <c r="E7" s="2"/>
      <c r="F7" s="2"/>
      <c r="G7" s="2"/>
      <c r="H7" s="2"/>
      <c r="I7" s="2"/>
      <c r="J7" s="2"/>
    </row>
    <row r="8" spans="2:11" x14ac:dyDescent="0.25">
      <c r="B8" s="2"/>
      <c r="C8" s="2"/>
      <c r="D8" s="2"/>
      <c r="E8" s="2"/>
      <c r="F8" s="2"/>
      <c r="G8" s="2"/>
      <c r="H8" s="2"/>
      <c r="I8" s="2"/>
      <c r="J8" s="2"/>
      <c r="K8" s="4"/>
    </row>
    <row r="9" spans="2:11" x14ac:dyDescent="0.25">
      <c r="B9" s="2"/>
      <c r="C9" s="2"/>
      <c r="D9" s="2"/>
      <c r="E9" s="2"/>
      <c r="F9" s="2"/>
      <c r="G9" s="2"/>
      <c r="H9" s="2"/>
      <c r="I9" s="2"/>
      <c r="J9" s="2"/>
      <c r="K9" s="4"/>
    </row>
    <row r="10" spans="2:11" x14ac:dyDescent="0.25">
      <c r="B10" s="2"/>
      <c r="C10" s="2"/>
      <c r="D10" s="2"/>
      <c r="E10" s="2"/>
      <c r="F10" s="2"/>
      <c r="G10" s="2"/>
      <c r="H10" s="2"/>
      <c r="I10" s="2"/>
      <c r="J10" s="2"/>
    </row>
    <row r="12" spans="2:11" x14ac:dyDescent="0.25">
      <c r="B12" s="19"/>
      <c r="C12" s="18" t="s">
        <v>1</v>
      </c>
      <c r="D12" s="18"/>
      <c r="E12" s="18"/>
      <c r="F12" s="18"/>
      <c r="K12" s="17"/>
    </row>
    <row r="13" spans="2:11" x14ac:dyDescent="0.25">
      <c r="B13" s="19" t="s">
        <v>2</v>
      </c>
      <c r="C13" s="20" t="s">
        <v>3</v>
      </c>
      <c r="D13" s="20"/>
      <c r="E13" s="20"/>
      <c r="F13" s="20"/>
      <c r="G13" s="10" t="s">
        <v>8</v>
      </c>
      <c r="H13" s="10"/>
      <c r="I13" s="10"/>
      <c r="J13" s="10"/>
      <c r="K13" s="16"/>
    </row>
    <row r="14" spans="2:11" x14ac:dyDescent="0.25">
      <c r="B14" s="19"/>
      <c r="C14" s="7" t="s">
        <v>4</v>
      </c>
      <c r="D14" s="7" t="s">
        <v>5</v>
      </c>
      <c r="E14" s="7" t="s">
        <v>6</v>
      </c>
      <c r="F14" s="7" t="s">
        <v>7</v>
      </c>
      <c r="G14" s="9" t="s">
        <v>4</v>
      </c>
      <c r="H14" s="9" t="s">
        <v>5</v>
      </c>
      <c r="I14" s="9" t="s">
        <v>6</v>
      </c>
      <c r="J14" s="9" t="s">
        <v>7</v>
      </c>
    </row>
    <row r="15" spans="2:11" x14ac:dyDescent="0.25">
      <c r="B15" s="1">
        <v>0</v>
      </c>
      <c r="C15">
        <v>0</v>
      </c>
      <c r="D15">
        <v>0</v>
      </c>
      <c r="E15">
        <v>0</v>
      </c>
      <c r="F15">
        <v>0</v>
      </c>
    </row>
    <row r="16" spans="2:11" x14ac:dyDescent="0.25">
      <c r="B16" s="1">
        <v>1</v>
      </c>
      <c r="C16">
        <f>(6+D15-2*E15)/10</f>
        <v>0.6</v>
      </c>
      <c r="D16">
        <f>(25+C15+E15-3*F15)/11</f>
        <v>2.2727272727272729</v>
      </c>
      <c r="E16">
        <f>(-11-2*C15+D15+F15)/10</f>
        <v>-1.1000000000000001</v>
      </c>
      <c r="F16">
        <f>(15-3*D15+E15)/8</f>
        <v>1.875</v>
      </c>
      <c r="G16" s="11">
        <f>ABS((C16-C15)/C16)</f>
        <v>1</v>
      </c>
      <c r="H16" s="11">
        <f t="shared" ref="H16:J16" si="0">ABS((D16-D15)/D16)</f>
        <v>1</v>
      </c>
      <c r="I16" s="11">
        <f t="shared" si="0"/>
        <v>1</v>
      </c>
      <c r="J16" s="11">
        <f t="shared" si="0"/>
        <v>1</v>
      </c>
    </row>
    <row r="17" spans="2:10" x14ac:dyDescent="0.25">
      <c r="B17" s="1">
        <v>2</v>
      </c>
      <c r="C17">
        <f t="shared" ref="C17:C24" si="1">(6+D16-2*E16)/10</f>
        <v>1.0472727272727274</v>
      </c>
      <c r="D17">
        <f t="shared" ref="D17:D24" si="2">(25+C16+E16-3*F16)/11</f>
        <v>1.7159090909090908</v>
      </c>
      <c r="E17">
        <f t="shared" ref="E17:E24" si="3">(-11-2*C16+D16+F16)/10</f>
        <v>-0.80522727272727257</v>
      </c>
      <c r="F17">
        <f t="shared" ref="F17:F24" si="4">(15-3*D16+E16)/8</f>
        <v>0.88522727272727275</v>
      </c>
      <c r="G17" s="11">
        <f t="shared" ref="G17:G24" si="5">ABS((C17-C16)/C17)</f>
        <v>0.42708333333333343</v>
      </c>
      <c r="H17" s="11">
        <f t="shared" ref="H17:H24" si="6">ABS((D17-D16)/D17)</f>
        <v>0.3245033112582783</v>
      </c>
      <c r="I17" s="11">
        <f t="shared" ref="I17:I24" si="7">ABS((E17-E16)/E17)</f>
        <v>0.36607394863110398</v>
      </c>
      <c r="J17" s="11">
        <f t="shared" ref="J17:J24" si="8">ABS((F17-F16)/F17)</f>
        <v>1.1181001283697047</v>
      </c>
    </row>
    <row r="18" spans="2:10" x14ac:dyDescent="0.25">
      <c r="B18" s="1">
        <v>3</v>
      </c>
      <c r="C18">
        <f t="shared" si="1"/>
        <v>0.9326363636363636</v>
      </c>
      <c r="D18">
        <f t="shared" si="2"/>
        <v>2.0533057851239671</v>
      </c>
      <c r="E18">
        <f t="shared" si="3"/>
        <v>-1.0493409090909092</v>
      </c>
      <c r="F18">
        <f t="shared" si="4"/>
        <v>1.1308806818181818</v>
      </c>
      <c r="G18" s="11">
        <f t="shared" si="5"/>
        <v>0.12291646359294292</v>
      </c>
      <c r="H18" s="11">
        <f t="shared" si="6"/>
        <v>0.16431877641376547</v>
      </c>
      <c r="I18" s="11">
        <f t="shared" si="7"/>
        <v>0.23263520391587814</v>
      </c>
      <c r="J18" s="11">
        <f t="shared" si="8"/>
        <v>0.2172231014645665</v>
      </c>
    </row>
    <row r="19" spans="2:10" x14ac:dyDescent="0.25">
      <c r="B19" s="1">
        <v>4</v>
      </c>
      <c r="C19">
        <f t="shared" si="1"/>
        <v>1.0151987603305785</v>
      </c>
      <c r="D19">
        <f t="shared" si="2"/>
        <v>1.9536957644628101</v>
      </c>
      <c r="E19">
        <f t="shared" si="3"/>
        <v>-0.9681086260330577</v>
      </c>
      <c r="F19">
        <f t="shared" si="4"/>
        <v>0.97384271694214875</v>
      </c>
      <c r="G19" s="11">
        <f t="shared" si="5"/>
        <v>8.1326337186749725E-2</v>
      </c>
      <c r="H19" s="11">
        <f t="shared" si="6"/>
        <v>5.0985431034368776E-2</v>
      </c>
      <c r="I19" s="11">
        <f t="shared" si="7"/>
        <v>8.3908231858970797E-2</v>
      </c>
      <c r="J19" s="11">
        <f t="shared" si="8"/>
        <v>0.16125598327533822</v>
      </c>
    </row>
    <row r="20" spans="2:10" x14ac:dyDescent="0.25">
      <c r="B20" s="1">
        <v>5</v>
      </c>
      <c r="C20">
        <f t="shared" si="1"/>
        <v>0.98899130165289262</v>
      </c>
      <c r="D20">
        <f t="shared" si="2"/>
        <v>2.0114147257700976</v>
      </c>
      <c r="E20">
        <f t="shared" si="3"/>
        <v>-1.0102859039256198</v>
      </c>
      <c r="F20">
        <f t="shared" si="4"/>
        <v>1.0213505100723141</v>
      </c>
      <c r="G20" s="11">
        <f t="shared" si="5"/>
        <v>2.6499180158496467E-2</v>
      </c>
      <c r="H20" s="11">
        <f t="shared" si="6"/>
        <v>2.8695703858481494E-2</v>
      </c>
      <c r="I20" s="11">
        <f t="shared" si="7"/>
        <v>4.1747863380728022E-2</v>
      </c>
      <c r="J20" s="11">
        <f t="shared" si="8"/>
        <v>4.651468096569681E-2</v>
      </c>
    </row>
    <row r="21" spans="2:10" x14ac:dyDescent="0.25">
      <c r="B21" s="1">
        <v>6</v>
      </c>
      <c r="C21">
        <f t="shared" si="1"/>
        <v>1.003198653362134</v>
      </c>
      <c r="D21">
        <f t="shared" si="2"/>
        <v>1.9922412606827571</v>
      </c>
      <c r="E21">
        <f t="shared" si="3"/>
        <v>-0.99452173674633748</v>
      </c>
      <c r="F21">
        <f t="shared" si="4"/>
        <v>0.99443373984551098</v>
      </c>
      <c r="G21" s="11">
        <f t="shared" si="5"/>
        <v>1.4162052213314531E-2</v>
      </c>
      <c r="H21" s="11">
        <f t="shared" si="6"/>
        <v>9.6240678605208803E-3</v>
      </c>
      <c r="I21" s="11">
        <f t="shared" si="7"/>
        <v>1.585100314735817E-2</v>
      </c>
      <c r="J21" s="11">
        <f t="shared" si="8"/>
        <v>2.7067434609554568E-2</v>
      </c>
    </row>
    <row r="22" spans="2:10" x14ac:dyDescent="0.25">
      <c r="B22" s="1">
        <v>7</v>
      </c>
      <c r="C22">
        <f t="shared" si="1"/>
        <v>0.99812847341754318</v>
      </c>
      <c r="D22">
        <f t="shared" si="2"/>
        <v>2.0023068815526606</v>
      </c>
      <c r="E22">
        <f t="shared" si="3"/>
        <v>-1.0019722306195997</v>
      </c>
      <c r="F22">
        <f t="shared" si="4"/>
        <v>1.0035943101506739</v>
      </c>
      <c r="G22" s="11">
        <f t="shared" si="5"/>
        <v>5.0796867133053062E-3</v>
      </c>
      <c r="H22" s="11">
        <f t="shared" si="6"/>
        <v>5.0270120742422044E-3</v>
      </c>
      <c r="I22" s="11">
        <f t="shared" si="7"/>
        <v>7.4358287042097021E-3</v>
      </c>
      <c r="J22" s="11">
        <f t="shared" si="8"/>
        <v>9.1277622964877243E-3</v>
      </c>
    </row>
    <row r="23" spans="2:10" x14ac:dyDescent="0.25">
      <c r="B23" s="1">
        <v>8</v>
      </c>
      <c r="C23" s="14">
        <f t="shared" si="1"/>
        <v>1.0006251342791859</v>
      </c>
      <c r="D23" s="14">
        <f t="shared" si="2"/>
        <v>1.9986703011223563</v>
      </c>
      <c r="E23" s="14">
        <f t="shared" si="3"/>
        <v>-0.99903557551317501</v>
      </c>
      <c r="F23" s="14">
        <f t="shared" si="4"/>
        <v>0.99888839059030232</v>
      </c>
      <c r="G23" s="15">
        <f t="shared" si="5"/>
        <v>2.4951010884222786E-3</v>
      </c>
      <c r="H23" s="15">
        <f t="shared" si="6"/>
        <v>1.8194999086453177E-3</v>
      </c>
      <c r="I23" s="15">
        <f t="shared" si="7"/>
        <v>2.9394900225812679E-3</v>
      </c>
      <c r="J23" s="15">
        <f t="shared" si="8"/>
        <v>4.7111565262967755E-3</v>
      </c>
    </row>
    <row r="24" spans="2:10" x14ac:dyDescent="0.25">
      <c r="B24" s="1">
        <v>9</v>
      </c>
      <c r="C24" s="12">
        <f t="shared" si="1"/>
        <v>0.99967414521487064</v>
      </c>
      <c r="D24" s="12">
        <f t="shared" si="2"/>
        <v>2.0004476715450092</v>
      </c>
      <c r="E24" s="12">
        <f t="shared" si="3"/>
        <v>-1.0003691576845715</v>
      </c>
      <c r="F24" s="12">
        <f t="shared" si="4"/>
        <v>1.0006191901399695</v>
      </c>
      <c r="G24" s="13">
        <f t="shared" si="5"/>
        <v>9.5129904966265459E-4</v>
      </c>
      <c r="H24" s="13">
        <f t="shared" si="6"/>
        <v>8.8848633630101077E-4</v>
      </c>
      <c r="I24" s="13">
        <f t="shared" si="7"/>
        <v>1.3330900509599148E-3</v>
      </c>
      <c r="J24" s="13">
        <f t="shared" si="8"/>
        <v>1.7297285188234708E-3</v>
      </c>
    </row>
    <row r="25" spans="2:10" x14ac:dyDescent="0.25">
      <c r="B25" s="1">
        <v>10</v>
      </c>
      <c r="C25" s="12">
        <f>(6+D24-2*E24)/10</f>
        <v>1.0001185986914152</v>
      </c>
      <c r="D25" s="12">
        <f>(25+C24+E24-3*F24)/11</f>
        <v>1.9997679470100358</v>
      </c>
      <c r="E25" s="12">
        <f>(-11-2*C24+D24+F24)/10</f>
        <v>-0.9998281428744763</v>
      </c>
      <c r="F25" s="12">
        <f>(15-3*D24+E24)/8</f>
        <v>0.99978597846005013</v>
      </c>
      <c r="G25" s="13">
        <f>ABS((C25-C24)/C25)</f>
        <v>4.4440077119460981E-4</v>
      </c>
      <c r="H25" s="13">
        <f>ABS((D25-D24)/D25)</f>
        <v>3.399017050902036E-4</v>
      </c>
      <c r="I25" s="13">
        <f>ABS((E25-E24)/E25)</f>
        <v>5.4110780332684209E-4</v>
      </c>
      <c r="J25" s="13">
        <f>ABS((F25-F24)/F25)</f>
        <v>8.3339004333979794E-4</v>
      </c>
    </row>
    <row r="27" spans="2:10" x14ac:dyDescent="0.25">
      <c r="B27" s="19"/>
      <c r="C27" s="5" t="s">
        <v>9</v>
      </c>
      <c r="D27" s="5"/>
      <c r="E27" s="5"/>
      <c r="F27" s="5"/>
    </row>
    <row r="28" spans="2:10" x14ac:dyDescent="0.25">
      <c r="B28" s="19"/>
      <c r="C28" s="6" t="s">
        <v>3</v>
      </c>
      <c r="D28" s="6"/>
      <c r="E28" s="6"/>
      <c r="F28" s="6"/>
      <c r="G28" s="8" t="s">
        <v>8</v>
      </c>
      <c r="H28" s="8"/>
      <c r="I28" s="8"/>
      <c r="J28" s="8"/>
    </row>
    <row r="29" spans="2:10" x14ac:dyDescent="0.25">
      <c r="B29" s="19" t="s">
        <v>2</v>
      </c>
      <c r="C29" s="7" t="s">
        <v>4</v>
      </c>
      <c r="D29" s="7" t="s">
        <v>5</v>
      </c>
      <c r="E29" s="7" t="s">
        <v>6</v>
      </c>
      <c r="F29" s="7" t="s">
        <v>7</v>
      </c>
      <c r="G29" s="9" t="s">
        <v>4</v>
      </c>
      <c r="H29" s="9" t="s">
        <v>5</v>
      </c>
      <c r="I29" s="9" t="s">
        <v>6</v>
      </c>
      <c r="J29" s="9" t="s">
        <v>7</v>
      </c>
    </row>
    <row r="30" spans="2:10" x14ac:dyDescent="0.25">
      <c r="B30" s="1">
        <v>0</v>
      </c>
      <c r="C30">
        <v>0</v>
      </c>
      <c r="D30">
        <v>0</v>
      </c>
      <c r="E30">
        <v>0</v>
      </c>
      <c r="F30">
        <v>0</v>
      </c>
      <c r="G30" s="11"/>
      <c r="H30" s="11"/>
      <c r="I30" s="11"/>
      <c r="J30" s="11"/>
    </row>
    <row r="31" spans="2:10" x14ac:dyDescent="0.25">
      <c r="B31" s="1">
        <v>1</v>
      </c>
      <c r="C31">
        <f>(6+D30-2*E30)/10</f>
        <v>0.6</v>
      </c>
      <c r="D31">
        <f>(25+C31+E30-3*F30)/11</f>
        <v>2.3272727272727276</v>
      </c>
      <c r="E31">
        <f>(-11-2*C31+D31+F30)/10</f>
        <v>-0.98727272727272708</v>
      </c>
      <c r="F31">
        <f>(15-3*D31+E31)/8</f>
        <v>0.87886363636363629</v>
      </c>
      <c r="G31" s="11">
        <f>ABS((C31-C30))/C31</f>
        <v>1</v>
      </c>
      <c r="H31" s="11">
        <f t="shared" ref="H31:J31" si="9">ABS((D31-D30))/D31</f>
        <v>1</v>
      </c>
      <c r="I31" s="11">
        <f>ABS((E31-E30)/E31)</f>
        <v>1</v>
      </c>
      <c r="J31" s="11">
        <f t="shared" si="9"/>
        <v>1</v>
      </c>
    </row>
    <row r="32" spans="2:10" x14ac:dyDescent="0.25">
      <c r="B32" s="1">
        <v>2</v>
      </c>
      <c r="C32">
        <f t="shared" ref="C32:C35" si="10">(6+D31-2*E31)/10</f>
        <v>1.0301818181818183</v>
      </c>
      <c r="D32">
        <f t="shared" ref="D32:D35" si="11">(25+C32+E31-3*F31)/11</f>
        <v>2.0369380165289255</v>
      </c>
      <c r="E32">
        <f t="shared" ref="E32:E35" si="12">(-11-2*C32+D32+F31)/10</f>
        <v>-1.0144561983471074</v>
      </c>
      <c r="F32">
        <f t="shared" ref="F32:F35" si="13">(15-3*D32+E32)/8</f>
        <v>0.98434121900826443</v>
      </c>
      <c r="G32" s="11">
        <f t="shared" ref="G32:G35" si="14">ABS((C32-C31))/C32</f>
        <v>0.41757853865160616</v>
      </c>
      <c r="H32" s="11">
        <f t="shared" ref="H32:H35" si="15">ABS((D32-D31))/D32</f>
        <v>0.14253487754062899</v>
      </c>
      <c r="I32" s="11">
        <f t="shared" ref="I32:I35" si="16">ABS((E32-E31)/E32)</f>
        <v>2.6796101318786781E-2</v>
      </c>
      <c r="J32" s="11">
        <f t="shared" ref="J32:J35" si="17">ABS((F32-F31))/F32</f>
        <v>0.1071555072649483</v>
      </c>
    </row>
    <row r="33" spans="2:10" x14ac:dyDescent="0.25">
      <c r="B33" s="1">
        <v>3</v>
      </c>
      <c r="C33">
        <f t="shared" si="10"/>
        <v>1.0065850413223141</v>
      </c>
      <c r="D33">
        <f t="shared" si="11"/>
        <v>2.003555016904583</v>
      </c>
      <c r="E33">
        <f t="shared" si="12"/>
        <v>-1.0025273846731779</v>
      </c>
      <c r="F33">
        <f t="shared" si="13"/>
        <v>0.99835094557663417</v>
      </c>
      <c r="G33" s="11">
        <f t="shared" si="14"/>
        <v>2.3442407636523194E-2</v>
      </c>
      <c r="H33" s="11">
        <f t="shared" si="15"/>
        <v>1.6661883173998342E-2</v>
      </c>
      <c r="I33" s="11">
        <f t="shared" si="16"/>
        <v>1.1898740978350707E-2</v>
      </c>
      <c r="J33" s="11">
        <f t="shared" si="17"/>
        <v>1.4032867530643655E-2</v>
      </c>
    </row>
    <row r="34" spans="2:10" x14ac:dyDescent="0.25">
      <c r="B34" s="1">
        <v>4</v>
      </c>
      <c r="C34">
        <f t="shared" si="10"/>
        <v>1.0008609786250939</v>
      </c>
      <c r="D34">
        <f t="shared" si="11"/>
        <v>2.000298250656547</v>
      </c>
      <c r="E34">
        <f t="shared" si="12"/>
        <v>-1.0003072761017007</v>
      </c>
      <c r="F34">
        <f t="shared" si="13"/>
        <v>0.99984974649108227</v>
      </c>
      <c r="G34" s="11">
        <f t="shared" si="14"/>
        <v>5.7191386410962121E-3</v>
      </c>
      <c r="H34" s="11">
        <f t="shared" si="15"/>
        <v>1.6281403270572814E-3</v>
      </c>
      <c r="I34" s="11">
        <f t="shared" si="16"/>
        <v>2.2194265947252149E-3</v>
      </c>
      <c r="J34" s="11">
        <f t="shared" si="17"/>
        <v>1.4990261483868498E-3</v>
      </c>
    </row>
    <row r="35" spans="2:10" x14ac:dyDescent="0.25">
      <c r="B35" s="1">
        <v>5</v>
      </c>
      <c r="C35">
        <f t="shared" si="10"/>
        <v>1.0000912802859949</v>
      </c>
      <c r="D35">
        <f t="shared" si="11"/>
        <v>2.000021342246459</v>
      </c>
      <c r="E35">
        <f t="shared" si="12"/>
        <v>-1.0000311471834449</v>
      </c>
      <c r="F35">
        <f t="shared" si="13"/>
        <v>0.99998810325964727</v>
      </c>
      <c r="G35" s="11">
        <f t="shared" si="14"/>
        <v>7.6962808722710017E-4</v>
      </c>
      <c r="H35" s="11">
        <f t="shared" si="15"/>
        <v>1.3845272759787421E-4</v>
      </c>
      <c r="I35" s="11">
        <f t="shared" si="16"/>
        <v>2.7612031788559727E-4</v>
      </c>
      <c r="J35" s="11">
        <f t="shared" si="17"/>
        <v>1.3835841457912943E-4</v>
      </c>
    </row>
    <row r="36" spans="2:10" x14ac:dyDescent="0.25">
      <c r="B36" s="1"/>
      <c r="G36" s="11"/>
      <c r="H36" s="11"/>
      <c r="I36" s="11"/>
      <c r="J36" s="11"/>
    </row>
    <row r="39" spans="2:10" x14ac:dyDescent="0.25">
      <c r="B39" s="2"/>
      <c r="C39" s="2"/>
      <c r="D39" s="2"/>
    </row>
    <row r="40" spans="2:10" x14ac:dyDescent="0.25">
      <c r="B40" s="2"/>
      <c r="C40" s="2"/>
      <c r="D40" s="2"/>
      <c r="F40">
        <v>1.25</v>
      </c>
    </row>
    <row r="41" spans="2:10" x14ac:dyDescent="0.25">
      <c r="B41" s="2"/>
      <c r="C41" s="2"/>
      <c r="D41" s="2"/>
    </row>
    <row r="43" spans="2:10" x14ac:dyDescent="0.25">
      <c r="B43" s="19"/>
      <c r="C43" s="18" t="s">
        <v>10</v>
      </c>
      <c r="D43" s="18"/>
      <c r="E43" s="18"/>
      <c r="F43" s="18"/>
    </row>
    <row r="44" spans="2:10" x14ac:dyDescent="0.25">
      <c r="B44" s="19"/>
      <c r="C44" s="20" t="s">
        <v>3</v>
      </c>
      <c r="D44" s="20"/>
      <c r="E44" s="20"/>
      <c r="F44" s="20"/>
      <c r="G44" s="10" t="s">
        <v>8</v>
      </c>
      <c r="H44" s="10"/>
      <c r="I44" s="10"/>
      <c r="J44" s="10"/>
    </row>
    <row r="45" spans="2:10" x14ac:dyDescent="0.25">
      <c r="B45" s="19" t="s">
        <v>2</v>
      </c>
      <c r="C45" s="7" t="s">
        <v>4</v>
      </c>
      <c r="D45" s="7" t="s">
        <v>5</v>
      </c>
      <c r="E45" s="7" t="s">
        <v>6</v>
      </c>
      <c r="F45" s="7" t="s">
        <v>7</v>
      </c>
      <c r="G45" s="9" t="s">
        <v>4</v>
      </c>
      <c r="H45" s="9" t="s">
        <v>5</v>
      </c>
      <c r="I45" s="9" t="s">
        <v>6</v>
      </c>
      <c r="J45" s="9" t="s">
        <v>7</v>
      </c>
    </row>
    <row r="46" spans="2:10" x14ac:dyDescent="0.25">
      <c r="B46" s="1">
        <v>0</v>
      </c>
      <c r="C46">
        <v>0</v>
      </c>
      <c r="D46">
        <v>0</v>
      </c>
      <c r="E46">
        <v>0</v>
      </c>
    </row>
    <row r="47" spans="2:10" x14ac:dyDescent="0.25">
      <c r="B47" s="1">
        <v>1</v>
      </c>
      <c r="C47">
        <f>((1-$F$40)*C46)+(($F$40/4)*(24-3*D46))</f>
        <v>7.5</v>
      </c>
      <c r="D47">
        <f>((1-$F$40)*D46)+(($F$40/4)*(30-3*C47+E46))</f>
        <v>2.34375</v>
      </c>
      <c r="E47">
        <f>((1-$F$40)*E46)+(($F$40/4)*(-24+D47))</f>
        <v>-6.767578125</v>
      </c>
      <c r="G47" s="11">
        <f>ABS((C47-C46)/C47)</f>
        <v>1</v>
      </c>
      <c r="H47" s="11">
        <f t="shared" ref="H47:I47" si="18">ABS((D47-D46)/D47)</f>
        <v>1</v>
      </c>
      <c r="I47" s="11">
        <f t="shared" si="18"/>
        <v>1</v>
      </c>
    </row>
    <row r="48" spans="2:10" x14ac:dyDescent="0.25">
      <c r="B48" s="1">
        <v>2</v>
      </c>
      <c r="C48">
        <f t="shared" ref="C48:C53" si="19">((1-$F$40)*C47)+(($F$40/4)*(24-3*D47))</f>
        <v>3.427734375</v>
      </c>
      <c r="D48">
        <f t="shared" ref="D48:D53" si="20">((1-$F$40)*D47)+(($F$40/4)*(30-3*C48+E47))</f>
        <v>3.460693359375</v>
      </c>
      <c r="E48">
        <f t="shared" ref="E48:E53" si="21">((1-$F$40)*E47)+(($F$40/4)*(-24+D48))</f>
        <v>-4.7266387939453125</v>
      </c>
      <c r="G48" s="11">
        <f t="shared" ref="G48:G53" si="22">ABS((C48-C47)/C48)</f>
        <v>1.188034188034188</v>
      </c>
      <c r="H48" s="11">
        <f t="shared" ref="H48:H53" si="23">ABS((D48-D47)/D48)</f>
        <v>0.32275132275132273</v>
      </c>
      <c r="I48" s="11">
        <f t="shared" ref="I48:I53" si="24">ABS((E48-E47)/E48)</f>
        <v>0.43179507045663651</v>
      </c>
    </row>
    <row r="49" spans="2:9" x14ac:dyDescent="0.25">
      <c r="B49" s="1">
        <v>3</v>
      </c>
      <c r="C49">
        <f t="shared" si="19"/>
        <v>3.3986663818359375</v>
      </c>
      <c r="D49">
        <f t="shared" si="20"/>
        <v>3.8465023040771484</v>
      </c>
      <c r="E49">
        <f t="shared" si="21"/>
        <v>-5.116308331489563</v>
      </c>
      <c r="G49" s="11">
        <f t="shared" si="22"/>
        <v>8.5527644959256521E-3</v>
      </c>
      <c r="H49" s="11">
        <f t="shared" si="23"/>
        <v>0.10030123842463461</v>
      </c>
      <c r="I49" s="11">
        <f t="shared" si="24"/>
        <v>7.6162246740669362E-2</v>
      </c>
    </row>
    <row r="50" spans="2:9" x14ac:dyDescent="0.25">
      <c r="B50" s="1">
        <v>4</v>
      </c>
      <c r="C50">
        <f t="shared" si="19"/>
        <v>3.044237494468689</v>
      </c>
      <c r="D50">
        <f t="shared" si="20"/>
        <v>3.9605554193258286</v>
      </c>
      <c r="E50">
        <f t="shared" si="21"/>
        <v>-4.9832493485882878</v>
      </c>
      <c r="G50" s="11">
        <f t="shared" si="22"/>
        <v>0.11642616189152057</v>
      </c>
      <c r="H50" s="11">
        <f t="shared" si="23"/>
        <v>2.879725270151488E-2</v>
      </c>
      <c r="I50" s="11">
        <f t="shared" si="24"/>
        <v>2.6701249243923472E-2</v>
      </c>
    </row>
    <row r="51" spans="2:9" x14ac:dyDescent="0.25">
      <c r="B51" s="1">
        <v>5</v>
      </c>
      <c r="C51">
        <f t="shared" si="19"/>
        <v>3.0259199207648635</v>
      </c>
      <c r="D51">
        <f t="shared" si="20"/>
        <v>3.9907957980176434</v>
      </c>
      <c r="E51">
        <f t="shared" si="21"/>
        <v>-5.0070639759724145</v>
      </c>
      <c r="G51" s="11">
        <f t="shared" si="22"/>
        <v>6.0535553429964303E-3</v>
      </c>
      <c r="H51" s="11">
        <f t="shared" si="23"/>
        <v>7.5775309543114708E-3</v>
      </c>
      <c r="I51" s="11">
        <f t="shared" si="24"/>
        <v>4.7562059319407133E-3</v>
      </c>
    </row>
    <row r="52" spans="2:9" x14ac:dyDescent="0.25">
      <c r="B52" s="1">
        <v>6</v>
      </c>
      <c r="C52">
        <f t="shared" si="19"/>
        <v>3.0021489591672434</v>
      </c>
      <c r="D52">
        <f t="shared" si="20"/>
        <v>3.9980789087849189</v>
      </c>
      <c r="E52">
        <f t="shared" si="21"/>
        <v>-4.9988343470116092</v>
      </c>
      <c r="G52" s="11">
        <f t="shared" si="22"/>
        <v>7.9179820591626458E-3</v>
      </c>
      <c r="H52" s="11">
        <f t="shared" si="23"/>
        <v>1.8216525820119339E-3</v>
      </c>
      <c r="I52" s="11">
        <f t="shared" si="24"/>
        <v>1.6463095973014337E-3</v>
      </c>
    </row>
    <row r="53" spans="2:9" x14ac:dyDescent="0.25">
      <c r="B53" s="1">
        <v>7</v>
      </c>
      <c r="C53">
        <f t="shared" si="19"/>
        <v>3.0012637832223277</v>
      </c>
      <c r="D53">
        <f t="shared" si="20"/>
        <v>3.9996597425917102</v>
      </c>
      <c r="E53">
        <f t="shared" si="21"/>
        <v>-5.0003977436871878</v>
      </c>
      <c r="G53" s="11">
        <f t="shared" si="22"/>
        <v>2.9493440392146979E-4</v>
      </c>
      <c r="H53" s="11">
        <f t="shared" si="23"/>
        <v>3.9524207270865276E-4</v>
      </c>
      <c r="I53" s="11">
        <f t="shared" si="24"/>
        <v>3.1265446384786424E-4</v>
      </c>
    </row>
  </sheetData>
  <mergeCells count="5">
    <mergeCell ref="B3:J10"/>
    <mergeCell ref="B39:D41"/>
    <mergeCell ref="C27:F27"/>
    <mergeCell ref="C28:F28"/>
    <mergeCell ref="G28:J2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2026-10-02T06:02:28Z</dcterms:created>
  <dcterms:modified xsi:type="dcterms:W3CDTF">2026-10-02T07:44:48Z</dcterms:modified>
</cp:coreProperties>
</file>